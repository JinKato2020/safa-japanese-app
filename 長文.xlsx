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300" yWindow="345" windowWidth="27960" windowHeight="14955" tabRatio="600" firstSheet="0" activeTab="5" autoFilterDateGrouping="1"/>
  </bookViews>
  <sheets>
    <sheet xmlns:r="http://schemas.openxmlformats.org/officeDocument/2006/relationships" name="まとめ" sheetId="1" state="visible" r:id="rId1"/>
    <sheet xmlns:r="http://schemas.openxmlformats.org/officeDocument/2006/relationships" name="日本生活スタート" sheetId="2" state="visible" r:id="rId2"/>
    <sheet xmlns:r="http://schemas.openxmlformats.org/officeDocument/2006/relationships" name="日本一人旅" sheetId="3" state="visible" r:id="rId3"/>
    <sheet xmlns:r="http://schemas.openxmlformats.org/officeDocument/2006/relationships" name="カイの日常" sheetId="4" state="visible" r:id="rId4"/>
    <sheet xmlns:r="http://schemas.openxmlformats.org/officeDocument/2006/relationships" name="カイの休憩室" sheetId="5" state="visible" r:id="rId5"/>
    <sheet xmlns:r="http://schemas.openxmlformats.org/officeDocument/2006/relationships" name="ミステリー" sheetId="6" state="visible" r:id="rId6"/>
    <sheet xmlns:r="http://schemas.openxmlformats.org/officeDocument/2006/relationships" name="ドキュメンタリー" sheetId="7" state="visible" r:id="rId7"/>
    <sheet xmlns:r="http://schemas.openxmlformats.org/officeDocument/2006/relationships" name="昔話" sheetId="8" state="visible" r:id="rId8"/>
    <sheet xmlns:r="http://schemas.openxmlformats.org/officeDocument/2006/relationships" name="ニュース" sheetId="9" state="visible" r:id="rId9"/>
    <sheet xmlns:r="http://schemas.openxmlformats.org/officeDocument/2006/relationships" name="お便り相談室" sheetId="10" state="visible" r:id="rId10"/>
    <sheet xmlns:r="http://schemas.openxmlformats.org/officeDocument/2006/relationships" name="ゲストインタビュー" sheetId="11" state="visible" r:id="rId11"/>
    <sheet xmlns:r="http://schemas.openxmlformats.org/officeDocument/2006/relationships" name="2人のフリートーク" sheetId="12" state="visible" r:id="rId12"/>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FCE4E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0" fillId="0" borderId="1" applyAlignment="1" pivotButton="0" quotePrefix="0" xfId="0">
      <alignment horizontal="center"/>
    </xf>
    <xf numFmtId="0" fontId="0" fillId="0" borderId="0" applyAlignment="1" pivotButton="0" quotePrefix="0" xfId="0">
      <alignment horizontal="center"/>
    </xf>
    <xf numFmtId="0" fontId="0" fillId="0" borderId="1" applyAlignment="1" pivotButton="0" quotePrefix="0" xfId="0">
      <alignment horizontal="center" vertical="top" wrapText="1"/>
    </xf>
    <xf numFmtId="0" fontId="0" fillId="0" borderId="1" applyAlignment="1" pivotButton="0" quotePrefix="0" xfId="0">
      <alignment horizontal="center"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7"/>
  <sheetViews>
    <sheetView zoomScale="85" zoomScaleNormal="85" workbookViewId="0">
      <selection activeCell="I1" sqref="I1"/>
    </sheetView>
  </sheetViews>
  <sheetFormatPr baseColWidth="8" defaultRowHeight="14.4"/>
  <cols>
    <col width="19" bestFit="1" customWidth="1" min="2" max="2"/>
    <col width="12.109375" bestFit="1" customWidth="1" min="3" max="4"/>
    <col width="14.44140625" bestFit="1" customWidth="1" min="5" max="6"/>
    <col width="14.44140625" customWidth="1" min="7" max="9"/>
    <col width="17.21875" bestFit="1" customWidth="1" min="11" max="11"/>
  </cols>
  <sheetData>
    <row r="1">
      <c r="B1" s="4" t="inlineStr">
        <is>
          <t>日本生活スタート</t>
        </is>
      </c>
      <c r="C1" s="4" t="inlineStr">
        <is>
          <t>日本一人旅</t>
        </is>
      </c>
      <c r="D1" s="4" t="inlineStr">
        <is>
          <t>カイの日常</t>
        </is>
      </c>
      <c r="E1" s="4" t="inlineStr">
        <is>
          <t>カイの休憩室</t>
        </is>
      </c>
      <c r="F1" s="4" t="inlineStr">
        <is>
          <t>ラジオトーク</t>
        </is>
      </c>
      <c r="G1" s="4" t="inlineStr">
        <is>
          <t>ニュース</t>
        </is>
      </c>
      <c r="H1" s="4" t="inlineStr">
        <is>
          <t>お便り相談室</t>
        </is>
      </c>
      <c r="I1" s="4" t="inlineStr">
        <is>
          <t>ゲストインタビュー</t>
        </is>
      </c>
      <c r="J1" s="4" t="inlineStr">
        <is>
          <t>ミステリー</t>
        </is>
      </c>
      <c r="K1" s="4" t="inlineStr">
        <is>
          <t>ドキュメンタリー</t>
        </is>
      </c>
      <c r="L1" s="4" t="inlineStr">
        <is>
          <t>昔話</t>
        </is>
      </c>
    </row>
    <row r="2" ht="28.8" customHeight="1">
      <c r="B2" s="6" t="inlineStr">
        <is>
          <t>対話</t>
        </is>
      </c>
      <c r="C2" s="6" t="inlineStr">
        <is>
          <t>対話</t>
        </is>
      </c>
      <c r="D2" s="6" t="inlineStr">
        <is>
          <t>対話</t>
        </is>
      </c>
      <c r="E2" s="6" t="inlineStr">
        <is>
          <t>対話</t>
        </is>
      </c>
      <c r="F2" s="6" t="inlineStr">
        <is>
          <t>対話</t>
        </is>
      </c>
      <c r="G2" s="6" t="n"/>
      <c r="H2" s="6" t="n"/>
      <c r="I2" s="6" t="n"/>
      <c r="J2" s="6" t="inlineStr">
        <is>
          <t>解説</t>
        </is>
      </c>
      <c r="K2" s="6" t="inlineStr">
        <is>
          <t>ナレーター大
＋台詞小</t>
        </is>
      </c>
      <c r="L2" s="7" t="inlineStr">
        <is>
          <t>物語</t>
        </is>
      </c>
    </row>
    <row r="3">
      <c r="B3" s="4" t="n"/>
      <c r="C3" s="4" t="n"/>
      <c r="D3" s="4" t="n"/>
      <c r="E3" s="4" t="n"/>
      <c r="F3" s="4" t="n"/>
      <c r="G3" s="4" t="n"/>
      <c r="H3" s="4" t="n"/>
      <c r="I3" s="4" t="n"/>
      <c r="J3" s="4" t="n"/>
      <c r="K3" s="4" t="n"/>
      <c r="L3" s="4" t="n"/>
    </row>
    <row r="4">
      <c r="A4" t="n">
        <v>1</v>
      </c>
      <c r="B4" s="5" t="n"/>
      <c r="C4" s="5" t="n"/>
      <c r="D4" s="5" t="n"/>
      <c r="E4" s="5" t="n"/>
      <c r="F4" s="5" t="n"/>
      <c r="G4" s="5" t="n"/>
      <c r="H4" s="5" t="n"/>
      <c r="I4" s="5" t="n"/>
      <c r="J4" s="5" t="n"/>
      <c r="K4" s="5" t="n"/>
      <c r="L4" s="5" t="n"/>
    </row>
    <row r="5">
      <c r="A5">
        <f>A4+1</f>
        <v/>
      </c>
      <c r="B5" s="5" t="n"/>
      <c r="C5" s="5" t="n"/>
      <c r="D5" s="5" t="n"/>
      <c r="E5" s="5" t="n"/>
      <c r="F5" s="5" t="n"/>
      <c r="G5" s="5" t="n"/>
      <c r="H5" s="5" t="n"/>
      <c r="I5" s="5" t="n"/>
      <c r="J5" s="5" t="n"/>
      <c r="K5" s="5" t="n"/>
      <c r="L5" s="5" t="n"/>
    </row>
    <row r="6">
      <c r="A6">
        <f>A5+1</f>
        <v/>
      </c>
      <c r="B6" s="5" t="n"/>
      <c r="C6" s="5" t="n"/>
      <c r="D6" s="5" t="n"/>
      <c r="E6" s="5" t="n"/>
      <c r="F6" s="5" t="n"/>
      <c r="G6" s="5" t="n"/>
      <c r="H6" s="5" t="n"/>
      <c r="I6" s="5" t="n"/>
      <c r="J6" s="5" t="n"/>
      <c r="K6" s="5" t="n"/>
      <c r="L6" s="5" t="n"/>
    </row>
    <row r="7">
      <c r="A7">
        <f>A6+1</f>
        <v/>
      </c>
      <c r="B7" s="5" t="n"/>
      <c r="C7" s="5" t="n"/>
      <c r="D7" s="5" t="n"/>
      <c r="E7" s="5" t="n"/>
      <c r="F7" s="5" t="n"/>
      <c r="G7" s="5" t="n"/>
      <c r="H7" s="5" t="n"/>
      <c r="I7" s="5" t="n"/>
      <c r="J7" s="5" t="n"/>
      <c r="K7" s="5" t="n"/>
      <c r="L7" s="5" t="n"/>
    </row>
    <row r="8">
      <c r="A8">
        <f>A7+1</f>
        <v/>
      </c>
      <c r="B8" s="5" t="n"/>
      <c r="C8" s="5" t="n"/>
      <c r="D8" s="5" t="n"/>
      <c r="E8" s="5" t="n"/>
      <c r="F8" s="5" t="n"/>
      <c r="G8" s="5" t="n"/>
      <c r="H8" s="5" t="n"/>
      <c r="I8" s="5" t="n"/>
      <c r="J8" s="5" t="n"/>
      <c r="K8" s="5" t="n"/>
      <c r="L8" s="5" t="n"/>
    </row>
    <row r="9">
      <c r="A9">
        <f>A8+1</f>
        <v/>
      </c>
      <c r="B9" s="5" t="n"/>
      <c r="C9" s="5" t="n"/>
      <c r="D9" s="5" t="n"/>
      <c r="E9" s="5" t="n"/>
      <c r="F9" s="5" t="n"/>
      <c r="G9" s="5" t="n"/>
      <c r="H9" s="5" t="n"/>
      <c r="I9" s="5" t="n"/>
      <c r="J9" s="5" t="n"/>
      <c r="K9" s="5" t="n"/>
      <c r="L9" s="5" t="n"/>
    </row>
    <row r="10">
      <c r="A10">
        <f>A9+1</f>
        <v/>
      </c>
      <c r="B10" s="5" t="n"/>
      <c r="C10" s="5" t="n"/>
      <c r="D10" s="5" t="n"/>
      <c r="E10" s="5" t="n"/>
      <c r="F10" s="5" t="n"/>
      <c r="G10" s="5" t="n"/>
      <c r="H10" s="5" t="n"/>
      <c r="I10" s="5" t="n"/>
      <c r="J10" s="5" t="n"/>
      <c r="K10" s="5" t="n"/>
      <c r="L10" s="5" t="n"/>
    </row>
    <row r="11">
      <c r="A11">
        <f>A10+1</f>
        <v/>
      </c>
      <c r="B11" s="5" t="n"/>
      <c r="C11" s="5" t="n"/>
      <c r="D11" s="5" t="n"/>
      <c r="E11" s="5" t="n"/>
      <c r="F11" s="5" t="n"/>
      <c r="G11" s="5" t="n"/>
      <c r="H11" s="5" t="n"/>
      <c r="I11" s="5" t="n"/>
      <c r="J11" s="5" t="n"/>
      <c r="K11" s="5" t="n"/>
      <c r="L11" s="5" t="n"/>
    </row>
    <row r="12">
      <c r="A12">
        <f>A11+1</f>
        <v/>
      </c>
      <c r="B12" s="5" t="n"/>
      <c r="C12" s="5" t="n"/>
      <c r="D12" s="5" t="n"/>
      <c r="E12" s="5" t="n"/>
      <c r="F12" s="5" t="n"/>
      <c r="G12" s="5" t="n"/>
      <c r="H12" s="5" t="n"/>
      <c r="I12" s="5" t="n"/>
      <c r="J12" s="5" t="n"/>
      <c r="K12" s="5" t="n"/>
      <c r="L12" s="5" t="n"/>
    </row>
    <row r="13">
      <c r="A13">
        <f>A12+1</f>
        <v/>
      </c>
      <c r="B13" s="5" t="n"/>
      <c r="C13" s="5" t="n"/>
      <c r="D13" s="5" t="n"/>
      <c r="E13" s="5" t="n"/>
      <c r="F13" s="5" t="n"/>
      <c r="G13" s="5" t="n"/>
      <c r="H13" s="5" t="n"/>
      <c r="I13" s="5" t="n"/>
      <c r="J13" s="5" t="n"/>
      <c r="K13" s="5" t="n"/>
      <c r="L13" s="5" t="n"/>
    </row>
    <row r="14">
      <c r="A14">
        <f>A13+1</f>
        <v/>
      </c>
      <c r="B14" s="5" t="n"/>
      <c r="C14" s="5" t="n"/>
      <c r="D14" s="5" t="n"/>
      <c r="E14" s="5" t="n"/>
      <c r="F14" s="5" t="n"/>
      <c r="G14" s="5" t="n"/>
      <c r="H14" s="5" t="n"/>
      <c r="I14" s="5" t="n"/>
      <c r="J14" s="5" t="n"/>
      <c r="K14" s="5" t="n"/>
      <c r="L14" s="5" t="n"/>
    </row>
    <row r="15">
      <c r="A15">
        <f>A14+1</f>
        <v/>
      </c>
      <c r="B15" s="5" t="n"/>
      <c r="C15" s="5" t="n"/>
      <c r="D15" s="5" t="n"/>
      <c r="E15" s="5" t="n"/>
      <c r="F15" s="5" t="n"/>
      <c r="G15" s="5" t="n"/>
      <c r="H15" s="5" t="n"/>
      <c r="I15" s="5" t="n"/>
      <c r="J15" s="5" t="n"/>
      <c r="K15" s="5" t="n"/>
      <c r="L15" s="5" t="n"/>
    </row>
    <row r="16">
      <c r="A16">
        <f>A15+1</f>
        <v/>
      </c>
      <c r="B16" s="5" t="n"/>
      <c r="C16" s="5" t="n"/>
      <c r="D16" s="5" t="n"/>
      <c r="E16" s="5" t="n"/>
      <c r="F16" s="5" t="n"/>
      <c r="G16" s="5" t="n"/>
      <c r="H16" s="5" t="n"/>
      <c r="I16" s="5" t="n"/>
      <c r="J16" s="5" t="n"/>
      <c r="K16" s="5" t="n"/>
      <c r="L16" s="5" t="n"/>
    </row>
    <row r="17">
      <c r="A17">
        <f>A16+1</f>
        <v/>
      </c>
      <c r="B17" s="5" t="n"/>
      <c r="C17" s="5" t="n"/>
      <c r="D17" s="5" t="n"/>
      <c r="E17" s="5" t="n"/>
      <c r="F17" s="5" t="n"/>
      <c r="G17" s="5" t="n"/>
      <c r="H17" s="5" t="n"/>
      <c r="I17" s="5" t="n"/>
      <c r="J17" s="5" t="n"/>
      <c r="K17" s="5" t="n"/>
      <c r="L17" s="5"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6"/>
  <sheetViews>
    <sheetView zoomScale="85" zoomScaleNormal="85" workbookViewId="0">
      <pane ySplit="1" topLeftCell="A2" activePane="bottomLeft" state="frozen"/>
      <selection pane="bottomLeft" activeCell="A1" sqref="A1"/>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210" customHeight="1">
      <c r="A2" s="2" t="inlineStr">
        <is>
          <t>L-K-001</t>
        </is>
      </c>
      <c r="B2" s="2" t="inlineStr">
        <is>
          <t>長文</t>
        </is>
      </c>
      <c r="C2" s="3" t="inlineStr">
        <is>
          <t>カイの物語</t>
        </is>
      </c>
      <c r="D2" s="3" t="inlineStr">
        <is>
          <t>日本生活スタート</t>
        </is>
      </c>
      <c r="E2" s="3" t="inlineStr">
        <is>
          <t>空港に着いた</t>
        </is>
      </c>
      <c r="F2" s="2" t="inlineStr">
        <is>
          <t>物語</t>
        </is>
      </c>
      <c r="G2" s="2" t="inlineStr">
        <is>
          <t>N5</t>
        </is>
      </c>
      <c r="H2" s="3" t="inlineStr">
        <is>
          <t>（ナレーション）長（なが）い フライトの あと、カイは ついに 日本（にほん）に 着（つ）いた。空港（くうこう）は 人（ひと）で いっぱいだ。
審査官（しんさかん）：パスポートを お願（ねが）いします。日本（にほん）には 何（なん）の ために 来（き）ましたか。
カイ：えっと、留学（りゅうがく）です。日本語（にほんご）の 学校（がっこう）に 通（かよ）うんです。
審査官：どのくらい いますか。
カイ：1年（ねん）の 予定（よてい）です。
審査官：はい、どうぞ。日本での 生活（せいかつ）、がんばってください。
カイ：ありがとうございます！
（ナレーション）スタンプを もらって、カイは 大（おお）きく 息（いき）を ついた。「やっと 来た…。これから 新（あたら）しい 毎日（まいにち）が 始（はじ）まるんだ」。</t>
        </is>
      </c>
      <c r="I2" s="2" t="n">
        <v>205</v>
      </c>
      <c r="J2" s="3" t="inlineStr">
        <is>
          <t>(Narration) After the long flight, Kai finally arrived in Japan. The airport is packed. / Officer: Passport, please. What did you come to Japan for? / Kai: Um, to study. I'll attend a Japanese language school. / Officer: How long will you stay? / Kai: About a year. / Officer: All right, go ahead. Good luck with your life in Japan. / Kai: Thank you! / (Narration) After getting the stamp, Kai let out a big breath. 'I'm finally here... A new daily life starts now.'</t>
        </is>
      </c>
      <c r="K2" s="3" t="inlineStr">
        <is>
          <t>えっと／〜んです／がんばってください</t>
        </is>
      </c>
      <c r="L2" s="3" t="inlineStr">
        <is>
          <t>入国の会話＋心情。会話表現「えっと/〜んです/〜んだ」。</t>
        </is>
      </c>
      <c r="M2" s="3" t="inlineStr">
        <is>
          <t>新生活 第1話・ドキドキ。</t>
        </is>
      </c>
      <c r="N2" s="3" t="inlineStr">
        <is>
          <t>多声TTS:ナレーター/審査官/カイ</t>
        </is>
      </c>
    </row>
    <row r="3" ht="225" customHeight="1">
      <c r="A3" s="2" t="inlineStr">
        <is>
          <t>L-K-002</t>
        </is>
      </c>
      <c r="B3" s="2" t="inlineStr">
        <is>
          <t>長文</t>
        </is>
      </c>
      <c r="C3" s="3" t="inlineStr">
        <is>
          <t>カイの物語</t>
        </is>
      </c>
      <c r="D3" s="3" t="inlineStr">
        <is>
          <t>日本生活スタート</t>
        </is>
      </c>
      <c r="E3" s="3" t="inlineStr">
        <is>
          <t>ゴミ出しでこまった</t>
        </is>
      </c>
      <c r="F3" s="2" t="inlineStr">
        <is>
          <t>物語</t>
        </is>
      </c>
      <c r="G3" s="2" t="inlineStr">
        <is>
          <t>N4</t>
        </is>
      </c>
      <c r="H3" s="3" t="inlineStr">
        <is>
          <t>（ナレーション）引（ひ）っ越（こ）しの 次（つぎ）の 日（ひ）。カイは ゴミぶくろを 持（も）って、こまっていた。
カイ：あれ？ ゴミは どこに 出（だ）せば いいんだろう…。
（ナレーション）ちょうど、近所（きんじょ）の 田中（たなか）さんが 通（とお）りかかった。世話（せわ）ずきな、この あたりの 大家（おおや）さんだ。
カイ：あの、すみません。ゴミの 出（だ）し方（かた）が わからなくて…。
田中さん：ああ、燃（も）えるゴミは 月曜（げつよう）と 木曜（もくよう）ですよ。朝（あさ）8時（じ）までに、そこの 角（かど）に 出（だ）してね。
カイ：そうなんですね！ ありがとうございます。助（たす）かりました。
田中さん：困（こま）ったら いつでも 聞（き）いてね。
（ナレーション）カイは ほっとした。「田中（たなか）さん、親切（しんせつ）だなあ。心強（こころづよ）いな」。</t>
        </is>
      </c>
      <c r="I3" s="2" t="n">
        <v>231</v>
      </c>
      <c r="J3" s="3" t="inlineStr">
        <is>
          <t>(Narration) The day after moving. Kai stood there holding a trash bag, troubled. / Kai: Huh? Where am I supposed to put the trash...? / (Narration) Just then, Tanaka-san, the caring landlady of the area, passed by. / Kai: Um, excuse me. I don't know how to sort the trash... / Tanaka: Ah, burnable trash is Monday and Thursday. Put it at that corner by 8 a.m. / Kai: Oh, I see! Thank you, that helps. / Tanaka: Ask me anytime you're stuck. / (Narration) Kai felt relieved. 'Tanaka-san is so kind. That's reassuring.'</t>
        </is>
      </c>
      <c r="K3" s="3" t="inlineStr">
        <is>
          <t>〜ばいいんだろう／そうなんですね／〜てね</t>
        </is>
      </c>
      <c r="L3" s="3" t="inlineStr">
        <is>
          <t>近所のメンター田中さん デビュー。会話表現「あれ?/〜なんですね/〜てね」。</t>
        </is>
      </c>
      <c r="M3" s="3" t="inlineStr">
        <is>
          <t>世話役 田中さん＝文化/本音への伏線。</t>
        </is>
      </c>
      <c r="N3" s="3" t="inlineStr">
        <is>
          <t>多声TTS:ナレーター/カイ/田中さん</t>
        </is>
      </c>
    </row>
    <row r="4" ht="180" customHeight="1">
      <c r="A4" s="2" t="inlineStr">
        <is>
          <t>L-K-003</t>
        </is>
      </c>
      <c r="B4" s="2" t="inlineStr">
        <is>
          <t>長文</t>
        </is>
      </c>
      <c r="C4" s="3" t="inlineStr">
        <is>
          <t>カイの物語</t>
        </is>
      </c>
      <c r="D4" s="3" t="inlineStr">
        <is>
          <t>日本生活スタート</t>
        </is>
      </c>
      <c r="E4" s="3" t="inlineStr">
        <is>
          <t>はじめての友だち（ミナ）</t>
        </is>
      </c>
      <c r="F4" s="2" t="inlineStr">
        <is>
          <t>物語</t>
        </is>
      </c>
      <c r="G4" s="2" t="inlineStr">
        <is>
          <t>N4</t>
        </is>
      </c>
      <c r="H4" s="3" t="inlineStr">
        <is>
          <t>（ナレーション）学校（がっこう）が 始（はじ）まって 数日（すうじつ）。まだ クラスに なれない カイに、同（おな）じ クラスの ミナが 話（はな）しかけてきた。
ミナ：あ、その ペン、いいね。どこで 買（か）ったの？
カイ：えっ、これ？ 駅前（えきまえ）の お店（みせ）です。
ミナ：へえ。ねえ、よかったら いっしょに お昼（ひる）、食（た）べない？
カイ：いいんですか？ うれしいです！
（ナレーション）その 一言（ひとこと）が、とても うれしかった。
カイ：（心の声）勇気（ゆうき）を 出（だ）して よかった…！
（ナレーション）この 日（ひ）から、ミナは カイの いちばんの 友（とも）だちに なった。</t>
        </is>
      </c>
      <c r="I4" s="2" t="n">
        <v>180</v>
      </c>
      <c r="J4" s="3" t="inlineStr">
        <is>
          <t>(Narration) A few days after school started. To Kai, who still hadn't settled into class, Mina—a classmate—struck up a conversation. / Mina: Oh, that pen's nice. Where'd you buy it? / Kai: Huh, this? At the shop in front of the station. / Mina: Huh. Hey, if you'd like, want to have lunch together? / Kai: Really? I'd love to! / (Narration) That one phrase made him so happy. / Kai: (inner voice) I'm so glad I found the courage...! / (Narration) From this day, Mina became Kai's best friend.</t>
        </is>
      </c>
      <c r="K4" s="3" t="inlineStr">
        <is>
          <t>どこで 買ったの？／いっしょに 〜ない？／よかったら</t>
        </is>
      </c>
      <c r="L4" s="3" t="inlineStr">
        <is>
          <t>相棒ミナと仲よくなる回。会話表現「えっ/へえ/ねえ」。誘いの「〜ない?」。</t>
        </is>
      </c>
      <c r="M4" s="3" t="inlineStr">
        <is>
          <t>相棒ミナ＝旅編への伏線。</t>
        </is>
      </c>
      <c r="N4" s="3" t="inlineStr">
        <is>
          <t>多声TTS:ナレーター/カイ/ミナ</t>
        </is>
      </c>
    </row>
    <row r="5" ht="195" customHeight="1">
      <c r="A5" s="2" t="inlineStr">
        <is>
          <t>L-K-004</t>
        </is>
      </c>
      <c r="B5" s="2" t="inlineStr">
        <is>
          <t>長文</t>
        </is>
      </c>
      <c r="C5" s="3" t="inlineStr">
        <is>
          <t>カイの物語</t>
        </is>
      </c>
      <c r="D5" s="3" t="inlineStr">
        <is>
          <t>日本生活スタート</t>
        </is>
      </c>
      <c r="E5" s="3" t="inlineStr">
        <is>
          <t>バイトを始める</t>
        </is>
      </c>
      <c r="F5" s="2" t="inlineStr">
        <is>
          <t>物語</t>
        </is>
      </c>
      <c r="G5" s="2" t="inlineStr">
        <is>
          <t>N4</t>
        </is>
      </c>
      <c r="H5" s="3" t="inlineStr">
        <is>
          <t>（ナレーション）カイは、駅前（えきまえ）の カフェで バイトを 始（はじ）めた。初日（しょにち）、同（おな）じ シフトの 男（おとこ）の 子（こ）が 声（こえ）を かけてきた。
ケンタ：あ、新（あたら）しい 人（ひと）？ おれ、ケンタ。よろしく！
カイ：カイです。よろしく お願（ねが）いします。
ケンタ：かたいなあ（笑）。タメで いいよ。わからない こと あったら、何（なん）でも 聞（き）いて。
カイ：ありがとう。じゃあ…レジ、まだ ちょっと こわくて。
ケンタ：だいじょうぶ だいじょうぶ。最初（さいしょ）は みんな そう。おれが ついてる から！
（ナレーション）ケンタの 明（あか）るさに、カイの きんちょうは すっと ほどけた。「日本人（にほんじん）の 友（とも）だち、第一号（だいいちごう）だ」。</t>
        </is>
      </c>
      <c r="I5" s="2" t="n">
        <v>222</v>
      </c>
      <c r="J5" s="3" t="inlineStr">
        <is>
          <t>(Narration) Kai started a part-time job at a cafe by the station. On day one, a guy on the same shift spoke to him. / Kenta: Oh, the new person? I'm Kenta. Nice to meet you! / Kai: I'm Kai. Pleased to meet you. / Kenta: So formal, ha. You can be casual with me. If there's anything you don't get, just ask. / Kai: Thanks. Then... the register still scares me a bit. / Kenta: It's fine, it's fine. Everyone's like that at first. I've got your back! / (Narration) Kenta's brightness loosened Kai's nerves at once. 'My first Japanese friend.'</t>
        </is>
      </c>
      <c r="K5" s="3" t="inlineStr">
        <is>
          <t>タメで いい／〜たら 聞いて／ついてる</t>
        </is>
      </c>
      <c r="L5" s="3" t="inlineStr">
        <is>
          <t>日本人の友ケンタ デビュー。くだけた会話表現。</t>
        </is>
      </c>
      <c r="M5" s="3" t="inlineStr">
        <is>
          <t>相棒その2＝フリートークへの伏線。</t>
        </is>
      </c>
      <c r="N5" s="3" t="inlineStr">
        <is>
          <t>多声TTS:ナレーター/カイ/ケンタ</t>
        </is>
      </c>
    </row>
    <row r="6" ht="195" customHeight="1">
      <c r="A6" s="2" t="inlineStr">
        <is>
          <t>L-K-005</t>
        </is>
      </c>
      <c r="B6" s="2" t="inlineStr">
        <is>
          <t>長文</t>
        </is>
      </c>
      <c r="C6" s="3" t="inlineStr">
        <is>
          <t>カイの物語</t>
        </is>
      </c>
      <c r="D6" s="3" t="inlineStr">
        <is>
          <t>日本生活スタート</t>
        </is>
      </c>
      <c r="E6" s="3" t="inlineStr">
        <is>
          <t>日本語学校の初日</t>
        </is>
      </c>
      <c r="F6" s="2" t="inlineStr">
        <is>
          <t>物語</t>
        </is>
      </c>
      <c r="G6" s="2" t="inlineStr">
        <is>
          <t>N4</t>
        </is>
      </c>
      <c r="H6" s="3" t="inlineStr">
        <is>
          <t>（ナレーション）日本語（にほんご）学校（がっこう）の 初日（しょにち）。教室（きょうしつ）に 入（はい）ると、先生（せんせい）が にっこり わらった。
さくら先生：みなさん、はじめまして。担任（たんにん）の さくらです。今日（きょう）から いっしょに がんばりましょう。
カイ：（心の声）やさしそうな 先生（せんせい）で よかった…。
さくら先生：では、となりの 人（ひと）と あいさつを して みましょう。
ミナ：はじめまして、ミナです。
カイ：カイです。よろしく お願（ねが）いします。
（ナレーション）さくら先生（せんせい）の ていねいな 日本語（にほんご）と、ミナの 笑顔（えがお）。カイの 新（あたら）しい 毎日（まいにち）は、ここから 始（はじ）まった。</t>
        </is>
      </c>
      <c r="I6" s="2" t="n">
        <v>194</v>
      </c>
      <c r="J6" s="3" t="inlineStr">
        <is>
          <t>(Narration) The first day at Japanese language school. When Kai entered the classroom, the teacher smiled warmly. / Sakura-sensei: Everyone, nice to meet you. I'm Sakura, your homeroom teacher. Let's do our best together starting today. / Kai: (inner voice) I'm glad the teacher seems kind... / Sakura-sensei: Now, let's greet the person next to you. / Mina: Nice to meet you, I'm Mina. / Kai: I'm Kai. Pleased to meet you. / (Narration) Sakura-sensei's polite Japanese and Mina's smile. Kai's new daily life began right here.</t>
        </is>
      </c>
      <c r="K6" s="3" t="inlineStr">
        <is>
          <t>はじめまして／〜ましょう／よろしく お願いします</t>
        </is>
      </c>
      <c r="L6" s="3" t="inlineStr">
        <is>
          <t>さくら先生 デビュー＋ミナと同級。ていねい語の手本。</t>
        </is>
      </c>
      <c r="M6" s="3" t="inlineStr">
        <is>
          <t>学びの場のスタート。</t>
        </is>
      </c>
      <c r="N6" s="3" t="inlineStr">
        <is>
          <t>多声TTS:ナレーター/さくら先生/カイ/ミナ</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
  <sheetViews>
    <sheetView workbookViewId="0">
      <pane ySplit="1" topLeftCell="A2" activePane="bottomLeft" state="frozen"/>
      <selection pane="bottomLeft" activeCell="A1" sqref="A1"/>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210" customHeight="1">
      <c r="A2" s="2" t="inlineStr">
        <is>
          <t>L-J-001</t>
        </is>
      </c>
      <c r="B2" s="2" t="inlineStr">
        <is>
          <t>長文</t>
        </is>
      </c>
      <c r="C2" s="3" t="inlineStr">
        <is>
          <t>カイの物語</t>
        </is>
      </c>
      <c r="D2" s="3" t="inlineStr">
        <is>
          <t>日本一人旅</t>
        </is>
      </c>
      <c r="E2" s="3" t="inlineStr">
        <is>
          <t>京都へ行く</t>
        </is>
      </c>
      <c r="F2" s="2" t="inlineStr">
        <is>
          <t>物語</t>
        </is>
      </c>
      <c r="G2" s="2" t="inlineStr">
        <is>
          <t>N4</t>
        </is>
      </c>
      <c r="H2" s="3" t="inlineStr">
        <is>
          <t>（ナレーション）連休（れんきゅう）、カイは はじめて 一人（ひとり）で 京都（きょうと）へ 来た。古（ふる）い お寺（てら）が 美（うつく）しい。
カイ：わあ、きれい…。あの、すみません、写真（しゃしん）を 撮（と）って もらえますか。
通行人（つうこうにん）：いいですよ。はい、チーズ！
カイ：ありがとうございます！
（ナレーション）お昼（ひる）に、小（ちい）さな お店（みせ）に 入（はい）った。
店員：いらっしゃい。何（なに）に しますか。
カイ：抹茶（まっちゃ）の アイス、ください。
店員：はいよ。京都（きょうと）は どう？
カイ：最高（さいこう）です！ また 来（き）たいなあ。
（ナレーション）わすれられない 一日（いちにち）に なった。</t>
        </is>
      </c>
      <c r="I2" s="2" t="n">
        <v>181</v>
      </c>
      <c r="J2" s="3" t="inlineStr">
        <is>
          <t>(Narration) On the holidays, Kai came to Kyoto alone for the first time. The old temples are beautiful. / Kai: Wow, beautiful... Um, excuse me, could you take a photo? / Passerby: Sure. Okay, cheese! / Kai: Thank you! / (Narration) For lunch, he went into a small shop. / Clerk: Welcome. What'll you have? / Kai: Matcha ice cream, please. / Clerk: Coming up. How's Kyoto? / Kai: It's the best! I want to come again. / (Narration) It became an unforgettable day.</t>
        </is>
      </c>
      <c r="K2" s="3" t="inlineStr">
        <is>
          <t>撮って もらえますか／また 来たいなあ／〜はどう?</t>
        </is>
      </c>
      <c r="L2" s="3" t="inlineStr">
        <is>
          <t>旅先の会話。会話表現「わあ/はいよ/〜なあ」。</t>
        </is>
      </c>
      <c r="M2" s="3" t="inlineStr">
        <is>
          <t>旅情・写真・食。</t>
        </is>
      </c>
      <c r="N2" s="3" t="inlineStr">
        <is>
          <t>多声TTS:ナレーター/カイ/通行人/店員</t>
        </is>
      </c>
    </row>
    <row r="3" ht="180" customHeight="1">
      <c r="A3" s="2" t="inlineStr">
        <is>
          <t>L-J-002</t>
        </is>
      </c>
      <c r="B3" s="2" t="inlineStr">
        <is>
          <t>長文</t>
        </is>
      </c>
      <c r="C3" s="3" t="inlineStr">
        <is>
          <t>カイの物語</t>
        </is>
      </c>
      <c r="D3" s="3" t="inlineStr">
        <is>
          <t>日本一人旅</t>
        </is>
      </c>
      <c r="E3" s="3" t="inlineStr">
        <is>
          <t>お祭りに行く</t>
        </is>
      </c>
      <c r="F3" s="2" t="inlineStr">
        <is>
          <t>物語</t>
        </is>
      </c>
      <c r="G3" s="2" t="inlineStr">
        <is>
          <t>N4</t>
        </is>
      </c>
      <c r="H3" s="3" t="inlineStr">
        <is>
          <t>（ナレーション）夏（なつ）の 夜（よる）。カイは 友（とも）だちの ミナと お祭（まつ）りに 来た。
ミナ：カイ、ゆかた 似合（にあ）ってる！
カイ：本当（ほんとう）？ えへへ、はじめて 着（き）たんだ。
ミナ：屋台（やたい）、行（い）こうよ。たこ焼（や）き 食（た）べたい！
カイ：いいね。あ、かき氷（ごおり）も！
（ナレーション）二人（ふたり）が 食（た）べながら 歩（ある）いていると、空（そら）に 大（おお）きな 花火（はなび）が 上（あ）がった。
カイ：わあ…！ きれいだね。
ミナ：うん。来（き）て よかったね。
（ナレーション）大（おお）きな 音（おと）と 光（ひかり）。カイの 胸（むね）は どきどきしていた。</t>
        </is>
      </c>
      <c r="I3" s="2" t="n">
        <v>165</v>
      </c>
      <c r="J3" s="3" t="inlineStr">
        <is>
          <t>(Narration) A summer night. Kai came to a festival with his friend Mina. / Mina: Kai, the yukata looks good on you! / Kai: Really? Hehe, it's my first time wearing one. / Mina: Let's go to the stalls. I want takoyaki! / Kai: Nice. Oh, shaved ice too! / (Narration) As the two walked while eating, big fireworks rose into the sky. / Kai: Wow...! It's beautiful. / Mina: Yeah. I'm glad we came. / (Narration) The loud sound and light. Kai's heart was racing.</t>
        </is>
      </c>
      <c r="K3" s="3" t="inlineStr">
        <is>
          <t>似合ってる／〜たんだ／来て よかったね</t>
        </is>
      </c>
      <c r="L3" s="3" t="inlineStr">
        <is>
          <t>友だちとの祭り会話。会話表現「えへへ/〜よ/〜だね」。</t>
        </is>
      </c>
      <c r="M3" s="3" t="inlineStr">
        <is>
          <t>夏祭りの高揚・友情。</t>
        </is>
      </c>
      <c r="N3" s="3" t="inlineStr">
        <is>
          <t>多声TTS:ナレーター/カイ/ミナ</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225" customHeight="1">
      <c r="A2" s="2" t="inlineStr">
        <is>
          <t>L-L-001</t>
        </is>
      </c>
      <c r="B2" s="2" t="inlineStr">
        <is>
          <t>長文</t>
        </is>
      </c>
      <c r="C2" s="3" t="inlineStr">
        <is>
          <t>カイの物語</t>
        </is>
      </c>
      <c r="D2" s="3" t="inlineStr">
        <is>
          <t>カイの日常</t>
        </is>
      </c>
      <c r="E2" s="3" t="inlineStr">
        <is>
          <t>はじめての美容院</t>
        </is>
      </c>
      <c r="F2" s="2" t="inlineStr">
        <is>
          <t>物語</t>
        </is>
      </c>
      <c r="G2" s="2" t="inlineStr">
        <is>
          <t>N4</t>
        </is>
      </c>
      <c r="H2" s="3" t="inlineStr">
        <is>
          <t>（ナレーション）カイは はじめて 一人（ひとり）で 美容院（びよういん）に 来た。日本語（にほんご）で 髪型（かみがた）を 言（い）うのは ドキドキする。
美容師（びようし）：今日（きょう）は どうしますか。
カイ：えっと、少（すこ）し 短（みじか）く して、軽（かる）く したいんです。
美容師：前髪（まえがみ）は どうしましょう？
カイ：前髪は そのままで お願（ねが）いします。
（ナレーション）はさみの 音（おと）が ひびく。終（お）わって 鏡（かがみ）を 見（み）ると…思（おも）ったより ずいぶん 短（みじか）い！
カイ：（心の声）うわ、短く なりすぎたかな…。
美容師：うん、似合（にあ）っていますよ。
カイ：あ、ありがとうございます！
（ナレーション）少（すこ）し 短すぎたけれど、カイは なんだか うれしかった。</t>
        </is>
      </c>
      <c r="I2" s="2" t="n">
        <v>210</v>
      </c>
      <c r="J2" s="3" t="inlineStr">
        <is>
          <t>(Narration) Kai came to a hair salon alone for the first time. Saying his hairstyle in Japanese is nerve-racking. / Stylist: What would you like today? / Kai: Um, a bit shorter and lighter, please. / Stylist: What about your bangs? / Kai: Please leave the bangs as they are. / (Narration) The scissors snip away. When it was done and he looked in the mirror... it was much shorter than he expected! / Kai: (inner voice) Whoa, maybe too short... / Stylist: Yeah, it suits you. / Kai: Oh, thank you! / (Narration) A little too short, but Kai felt somehow happy.</t>
        </is>
      </c>
      <c r="K2" s="3" t="inlineStr">
        <is>
          <t>〜したいんです／どうしましょう／似合っています</t>
        </is>
      </c>
      <c r="L2" s="3" t="inlineStr">
        <is>
          <t>美容院の会話＋心の声。会話表現「えっと/うわ/なんだか」。</t>
        </is>
      </c>
      <c r="M2" s="3" t="inlineStr">
        <is>
          <t>カイの小さな挑戦。</t>
        </is>
      </c>
      <c r="N2" s="3" t="inlineStr">
        <is>
          <t>多声TTS:ナレーター/カイ/美容師</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165" customHeight="1">
      <c r="A2" s="2" t="inlineStr">
        <is>
          <t>L-B-001</t>
        </is>
      </c>
      <c r="B2" s="2" t="inlineStr">
        <is>
          <t>長文</t>
        </is>
      </c>
      <c r="C2" s="3" t="inlineStr">
        <is>
          <t>カイの物語</t>
        </is>
      </c>
      <c r="D2" s="3" t="inlineStr">
        <is>
          <t>カイの休憩室</t>
        </is>
      </c>
      <c r="E2" s="3" t="inlineStr">
        <is>
          <t>好きな食べ物の話</t>
        </is>
      </c>
      <c r="F2" s="2" t="inlineStr">
        <is>
          <t>物語</t>
        </is>
      </c>
      <c r="G2" s="2" t="inlineStr">
        <is>
          <t>N4</t>
        </is>
      </c>
      <c r="H2" s="3" t="inlineStr">
        <is>
          <t>カイ：みなさん、こんにちは、カイです。ちょっと 休憩（きゅうけい）の 時間（じかん）。今日（きょう）は ぼくの 好（す）きな 食（た）べ物（もの）の 話（はなし）。
（ナレーション）実（じつ）は カイ、おにぎりが 大好物（だいこうぶつ）。
カイ：コンビニの おにぎりも おいしいけど、自分（じぶん）で 作（つく）るのも 楽（たの）しいんだよね。この前（まえ）、友（とも）だちに 作（つく）ってあげたら「うまっ！」って 言（い）われて、うれしくて さ。
（ナレーション）カイは 照（て）れながら 笑（わら）った。
カイ：みなさんの 好（す）きな 日本（にほん）の 食べ物は 何（なん）ですか？ また 教（おし）えてね。じゃあ、また！</t>
        </is>
      </c>
      <c r="I2" s="2" t="n">
        <v>177</v>
      </c>
      <c r="J2" s="3" t="inlineStr">
        <is>
          <t>Kai: Hi everyone, it's Kai. A little break time. Today, a talk about my favorite food. / (Narration) Actually, Kai loves onigiri. / Kai: Convenience-store onigiri are tasty, but making them yourself is fun too, you know. The other day I made some for a friend and they said 'Yum!'—it made me really happy. / (Narration) Kai laughed bashfully. / Kai: What's your favorite Japanese food? Let me know sometime. See you!</t>
        </is>
      </c>
      <c r="K2" s="3" t="inlineStr">
        <is>
          <t>〜んだよね／うまっ／〜てね</t>
        </is>
      </c>
      <c r="L2" s="3" t="inlineStr">
        <is>
          <t>カイの語りかけ＋ひとり言。くだけた会話表現「〜だよね/うまっ/さ」。</t>
        </is>
      </c>
      <c r="M2" s="3" t="inlineStr">
        <is>
          <t>親近感・リスナーへの呼びかけ。</t>
        </is>
      </c>
      <c r="N2" s="3" t="inlineStr">
        <is>
          <t>多声TTS:カイ/ナレーター</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150" customHeight="1">
      <c r="A2" s="2" t="inlineStr">
        <is>
          <t>L-M-001</t>
        </is>
      </c>
      <c r="B2" s="2" t="inlineStr">
        <is>
          <t>長文</t>
        </is>
      </c>
      <c r="C2" s="3" t="inlineStr">
        <is>
          <t>ミステリー</t>
        </is>
      </c>
      <c r="D2" s="3" t="n"/>
      <c r="E2" s="3" t="inlineStr">
        <is>
          <t>消えた駅弁の謎 第1話：駅で事件発生</t>
        </is>
      </c>
      <c r="F2" s="2" t="inlineStr">
        <is>
          <t>物語</t>
        </is>
      </c>
      <c r="G2" s="2" t="inlineStr">
        <is>
          <t>N4</t>
        </is>
      </c>
      <c r="H2" s="3" t="inlineStr">
        <is>
          <t>（ナレーション）東京駅（とうきょうえき）の 有名（ゆうめい）な 駅弁屋（えきべんや）で 事件（じけん）が 起（お）きた。
店長（てんちょう）：たいへんだ！ 一番（いちばん）人気（にんき）の「うみの幸（さち）弁当（べんとう）」が、10個（こ）も 消（き）えてる！
駅員（えきいん）の明智（あけち）：鍵（かぎ）は かかっていたんですよね？
店長：はい、朝（あさ）まで しっかり…。
明智：おかしいな。鍵（かぎ）が かかっていたのに、どうやって…？
（ナレーション）明智（あけち）さんは 考（かんが）えた。これは ただの どろぼうでは ないかもしれない。</t>
        </is>
      </c>
      <c r="I2" s="2" t="n">
        <v>143</v>
      </c>
      <c r="J2" s="3" t="inlineStr">
        <is>
          <t>(Narration) An incident occurred at a famous ekiben shop in Tokyo Station. / Manager: This is terrible! Ten of our most popular 'Sea Bounty Bento' have vanished! / Akechi (staff): The door was locked, right? / Manager: Yes, firmly until morning... / Akechi: Strange. The door was locked, so how...? / (Narration) Akechi thought. This might not be an ordinary thief.</t>
        </is>
      </c>
      <c r="K2" s="3" t="inlineStr">
        <is>
          <t>たいへんだ／〜んですよね／どうやって…?</t>
        </is>
      </c>
      <c r="L2" s="3" t="inlineStr">
        <is>
          <t>事件の発端を会話で（密室の謎）。</t>
        </is>
      </c>
      <c r="M2" s="3" t="inlineStr">
        <is>
          <t>続きが気になる第1話。</t>
        </is>
      </c>
      <c r="N2" s="3" t="inlineStr">
        <is>
          <t>多声TTS:ナレーター/店長/田中</t>
        </is>
      </c>
    </row>
    <row r="3" ht="165" customHeight="1">
      <c r="A3" s="2" t="inlineStr">
        <is>
          <t>L-M-002</t>
        </is>
      </c>
      <c r="B3" s="2" t="inlineStr">
        <is>
          <t>長文</t>
        </is>
      </c>
      <c r="C3" s="3" t="inlineStr">
        <is>
          <t>ミステリー</t>
        </is>
      </c>
      <c r="D3" s="3" t="n"/>
      <c r="E3" s="3" t="inlineStr">
        <is>
          <t>消えた駅弁の謎 第2話：証言を聞く</t>
        </is>
      </c>
      <c r="F3" s="2" t="inlineStr">
        <is>
          <t>対話</t>
        </is>
      </c>
      <c r="G3" s="2" t="inlineStr">
        <is>
          <t>N4</t>
        </is>
      </c>
      <c r="H3" s="3" t="inlineStr">
        <is>
          <t>明智（あけち）：すみません、今朝（けさ）、何（なに）か 見（み）ませんでしたか。
掃除（そうじ）の人：5時（じ）ごろ、白（しろ）い 服（ふく）の 人（ひと）を 見（み）ましたよ。
明智：白い 服…。ありがとうございます。
コーヒー店（てん）の人：そういえば、変（へん）な 音（おと）が しましたね。バサバサっと。
明智：バサバサ？
（ナレーション）でも、防犯（ぼうはん）カメラには だれも 映（うつ）っていない。
明智：（首（くび）を かしげて）うーん、おかしいなあ…。</t>
        </is>
      </c>
      <c r="I3" s="2" t="n">
        <v>144</v>
      </c>
      <c r="J3" s="3" t="inlineStr">
        <is>
          <t>Akechi: Excuse me, did you see anything this morning? / Cleaner: Around 5, I saw someone in white clothes. / Akechi: White clothes... Thank you. / Coffee-shop worker: Come to think of it, there was a strange sound. A flapping sound. / Akechi: Flapping? / (Narration) But the security camera showed no one. / Akechi: (tilting his head) Hmm, that's strange...</t>
        </is>
      </c>
      <c r="K3" s="3" t="inlineStr">
        <is>
          <t>見ませんでしたか／そういえば／うーん</t>
        </is>
      </c>
      <c r="L3" s="3" t="inlineStr">
        <is>
          <t>証言の会話と矛盾。会話表現「そういえば/うーん」。</t>
        </is>
      </c>
      <c r="M3" s="3" t="inlineStr">
        <is>
          <t>謎が深まる。</t>
        </is>
      </c>
      <c r="N3" s="3" t="inlineStr">
        <is>
          <t>多声TTS:田中/証人たち/ナレーター</t>
        </is>
      </c>
    </row>
    <row r="4" ht="135" customHeight="1">
      <c r="A4" s="2" t="inlineStr">
        <is>
          <t>L-M-003</t>
        </is>
      </c>
      <c r="B4" s="2" t="inlineStr">
        <is>
          <t>長文</t>
        </is>
      </c>
      <c r="C4" s="3" t="inlineStr">
        <is>
          <t>ミステリー</t>
        </is>
      </c>
      <c r="D4" s="3" t="n"/>
      <c r="E4" s="3" t="inlineStr">
        <is>
          <t>消えた駅弁の謎 第3話：容疑者登場</t>
        </is>
      </c>
      <c r="F4" s="2" t="inlineStr">
        <is>
          <t>対話</t>
        </is>
      </c>
      <c r="G4" s="2" t="inlineStr">
        <is>
          <t>N3</t>
        </is>
      </c>
      <c r="H4" s="3" t="inlineStr">
        <is>
          <t>（ナレーション）次（つぎ）の 日（ひ）、明智（あけち）さんは 白（しろ）い 服（ふく）の 男（おとこ）を 見（み）つけた。駅（えき）の 清掃員（せいそういん）だ。
明智：あの 朝（あさ）、何（なに）を していましたか。
清掃員：私（わたし）は ただ、ゴミを 集（あつ）めていただけですよ。
（ナレーション）そのとき、男（おとこ）の カバンから 弁当（べんとう）の 包（つつ）み紙（がみ）が ひらり、と 落（お）ちた。
明智：（目（め）を 光（ひか）らせて）…これは？
清掃員：えっ、いや、これは…！</t>
        </is>
      </c>
      <c r="I4" s="2" t="n">
        <v>124</v>
      </c>
      <c r="J4" s="3" t="inlineStr">
        <is>
          <t>(Narration) The next day, Akechi found the man in white—a station cleaner. / Akechi: What were you doing that morning? / Cleaner: I was just collecting trash. / (Narration) Just then, a bento wrapper fluttered out of the man's bag. / Akechi: (eyes flashing) ...What's this? / Cleaner: Huh, no, this is...!</t>
        </is>
      </c>
      <c r="K4" s="3" t="inlineStr">
        <is>
          <t>〜だけですよ／これは？／えっ、いや</t>
        </is>
      </c>
      <c r="L4" s="3" t="inlineStr">
        <is>
          <t>容疑者への会話と証拠。会話表現「〜だけですよ/えっ、いや」。</t>
        </is>
      </c>
      <c r="M4" s="3" t="inlineStr">
        <is>
          <t>犯人か?の緊張。</t>
        </is>
      </c>
      <c r="N4" s="3" t="inlineStr">
        <is>
          <t>多声TTS:ナレーター/田中/清掃員</t>
        </is>
      </c>
    </row>
    <row r="5" ht="150" customHeight="1">
      <c r="A5" s="2" t="inlineStr">
        <is>
          <t>L-M-004</t>
        </is>
      </c>
      <c r="B5" s="2" t="inlineStr">
        <is>
          <t>長文</t>
        </is>
      </c>
      <c r="C5" s="3" t="inlineStr">
        <is>
          <t>ミステリー</t>
        </is>
      </c>
      <c r="D5" s="3" t="n"/>
      <c r="E5" s="3" t="inlineStr">
        <is>
          <t>消えた駅弁の謎 第4話：真犯人は？</t>
        </is>
      </c>
      <c r="F5" s="2" t="inlineStr">
        <is>
          <t>物語</t>
        </is>
      </c>
      <c r="G5" s="2" t="inlineStr">
        <is>
          <t>N3</t>
        </is>
      </c>
      <c r="H5" s="3" t="inlineStr">
        <is>
          <t>清掃員：それは、私（わたし）が 拾（ひろ）った ゴミです。本当（ほんとう）です！
（ナレーション）明智（あけち）さんは 防犯（ぼうはん）カメラを もう一度（いちど）見（み）た。すると、屋根（やね）の すきまから…
明智：あっ！ 見（み）て ください。大（おお）きな カラスが、弁当（べんとう）を 運（はこ）んでる！
店長：えーっ！ 犯人（はんにん）は カラス だったの！？
（ナレーション）みんな 大笑（おおわら）い。鍵（かぎ）の 謎（なぞ）は、屋根（やね）の 小（ちい）さな 窓（まど）だったのだ。
明智：はは、事件（じけん）は 無事（ぶじ）解決（かいけつ）、ですね。</t>
        </is>
      </c>
      <c r="I5" s="2" t="n">
        <v>145</v>
      </c>
      <c r="J5" s="3" t="inlineStr">
        <is>
          <t>Cleaner: That's trash I picked up. It's true! / (Narration) Akechi watched the security camera again. Then, through a gap in the roof... / Akechi: Ah! Look! A big crow is carrying the bento! / Manager: Whaaat! The culprit was a crow?! / (Narration) Everyone burst out laughing. The mystery of the lock was a small window in the roof. / Akechi: Haha, case closed.</t>
        </is>
      </c>
      <c r="K5" s="3" t="inlineStr">
        <is>
          <t>見て ください／〜だったの!?／無事 解決</t>
        </is>
      </c>
      <c r="L5" s="3" t="inlineStr">
        <is>
          <t>真相を会話で。会話表現「あっ/えーっ/はは」。</t>
        </is>
      </c>
      <c r="M5" s="3" t="inlineStr">
        <is>
          <t>犯人はカラス＝意外な落ち。</t>
        </is>
      </c>
      <c r="N5" s="3" t="inlineStr">
        <is>
          <t>多声TTS:ナレーター/田中/清掃員/店長</t>
        </is>
      </c>
    </row>
    <row r="6" ht="165" customHeight="1">
      <c r="A6" s="2" t="inlineStr">
        <is>
          <t>L-M-005</t>
        </is>
      </c>
      <c r="B6" s="2" t="inlineStr">
        <is>
          <t>長文</t>
        </is>
      </c>
      <c r="C6" s="3" t="inlineStr">
        <is>
          <t>ミステリー</t>
        </is>
      </c>
      <c r="D6" s="3" t="n"/>
      <c r="E6" s="3" t="inlineStr">
        <is>
          <t>消えた最終電車</t>
        </is>
      </c>
      <c r="F6" s="2" t="inlineStr">
        <is>
          <t>物語</t>
        </is>
      </c>
      <c r="G6" s="2" t="inlineStr">
        <is>
          <t>N3</t>
        </is>
      </c>
      <c r="H6" s="3" t="inlineStr">
        <is>
          <t>夜（よる）11時（じ）50分（ぷん）、駅員（えきいん）の 木村（きむら）さんは おかしな ことに 気（き）づいた。
木村：あれ？ さっきまで ホームに いた 女（おんな）の 人（ひと）、どこへ 行（い）ったんだ…。
終電（しゅうでん）は まだ 来（き）ていない。改札（かいさつ）も 通（とお）っていない。なのに、ホームには 誰（だれ）も いない。
木村：かばんだけが、ベンチに 残（のこ）っている…。
次（つぎ）の 朝（あさ）、かばんの 中（なか）から 一枚（いちまい）の 古（ふる）い 切符（きっぷ）が 見（み）つかった。日付（ひづけ）は——30年（ねん）前（まえ）だった。
（つづく）</t>
        </is>
      </c>
      <c r="I6" s="2" t="n">
        <v>154</v>
      </c>
      <c r="J6" s="3" t="inlineStr">
        <is>
          <t>11:50 p.m. Station attendant Kimura noticed something strange. Kimura: Huh? The woman who was on the platform just now—where did she go...? The last train hasn't come yet. She didn't pass the gate. And yet, no one is on the platform. Kimura: Only a bag is left on the bench... The next morning, an old ticket was found inside the bag. The date was—30 years ago. (To be continued)</t>
        </is>
      </c>
      <c r="K6" s="3" t="inlineStr">
        <is>
          <t>〜に 気づいた／なのに／〜だった</t>
        </is>
      </c>
      <c r="L6" s="3" t="inlineStr">
        <is>
          <t>続きが気になる導入。</t>
        </is>
      </c>
      <c r="M6" s="3" t="inlineStr">
        <is>
          <t>30年前の切符の謎。</t>
        </is>
      </c>
      <c r="N6" s="3" t="inlineStr">
        <is>
          <t>多声TTS:ナレーション/駅員</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zoomScale="55" zoomScaleNormal="55" workbookViewId="0">
      <pane ySplit="1" topLeftCell="A3" activePane="bottomLeft" state="frozen"/>
      <selection pane="bottomLeft" activeCell="F3" sqref="F3"/>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409.6" customHeight="1">
      <c r="A2" s="2" t="inlineStr">
        <is>
          <t>L-D-001</t>
        </is>
      </c>
      <c r="B2" s="2" t="inlineStr">
        <is>
          <t>長文</t>
        </is>
      </c>
      <c r="C2" s="3" t="inlineStr">
        <is>
          <t>ドキュメンタリー</t>
        </is>
      </c>
      <c r="D2" s="3" t="n"/>
      <c r="E2" s="3" t="inlineStr">
        <is>
          <t>カップラーメンの誕生</t>
        </is>
      </c>
      <c r="F2" s="2" t="inlineStr">
        <is>
          <t>ドキュメンタリー</t>
        </is>
      </c>
      <c r="G2" s="2" t="inlineStr">
        <is>
          <t>N3</t>
        </is>
      </c>
      <c r="H2" s="3" t="inlineStr">
        <is>
          <t>（ナレーション）戦後（せんご）の日本（にほん）。焼（や）け野原（のはら）が広（ひろ）がる寒（さむ）い夜（よる）、一軒（いっけん）の屋台（やたい）に長（なが）い行列（ぎょうれつ）ができていた。人々（ひとびと）は、温（あたた）かいラーメン一杯（いっぱい）を、ふるえながら待（ま）っていた。その光景（こうけい）を、安藤（あんどう）はじっと見（み）つめていた。
安藤：「これほど多（おお）くの人（ひと）が、一杯（いっぱい）のラーメンを求（もと）めている。家（いえ）で、すぐに、手軽（てがる）に食（た）べられるラーメンを作（つく）れないだろうか」。
（ナレーション）安藤（あんどう）は、自宅（じたく）の裏（うら）に小（ちい）さな小屋（こや）を建（た）て、たった一人（ひとり）で研究（けんきゅう）を始（はじ）めた。来（く）る日（ひ）も来（く）る日（ひ）も、麺（めん）づくりに明（あ）け暮（く）れる。だが、ゆでた麺（めん）はすぐにのびて、味（あじ）も落（お）ちてしまう。失敗（しっぱい）は何百回（なんびゃっかい）も続（つづ）いた。
安藤：「どうすれば、長（なが）く保存（ほぞん）でき、湯（ゆ）をかけるだけで元（もと）に戻（もど）るんだ…」。
（ナレーション）眠（ねむ）る時間（じかん）も惜（お）しんだ。見（み）かねた妻（つま）が、夜（よる）おそく台所（だいどころ）から声（こえ）をかけた。
妻：「あなた、少（すこ）し休（やす）んだら？ 今日（きょう）は天（てん）ぷらを揚（あ）げましたよ」。
（ナレーション）その時（とき）だった。安藤（あんどう）の目（め）が、油（あぶら）の中（なか）の天（てん）ぷらに釘付（くぎづ）けになった。衣（ころも）から、無数（むすう）の泡（あわ）が立（た）ちのぼっている。水分（すいぶん）が一気（いっき）に飛（と）んでいく――。「これだ！ 油（あぶら）で揚（あ）げれば麺（めん）は乾（かわ）き、無数（むすう）の穴（あな）に湯（ゆ）がしみ込（こ）めば、麺（めん）は元（もと）に戻（もど）る！」。
（ナレーション）こうして一杯（いっぱい）のインスタントラーメンが生（う）まれた。さらに安藤（あんどう）は、世界（せかい）へ届（とど）けるため、器（うつわ）ごと食（た）べられる「カップ」を発明（はつめい）する。発売（はつばい）の日（ひ）、半信半疑（はんしんはんぎ）だった人々（ひとびと）は、湯（ゆ）を注（そそ）いで三分（さんぷん）、ふたを開（あ）けて笑顔（えがお）になった。一人（ひとり）の執念（しゅうねん）が、世界（せかい）の食卓（しょくたく）を永遠（えいえん）に変（か）えたのである。</t>
        </is>
      </c>
      <c r="I2" s="2" t="n">
        <v>537</v>
      </c>
      <c r="J2" s="3" t="inlineStr">
        <is>
          <t>Postwar Japan. On a cold night amid the burnt ruins, a long line formed at a single food stall. People waited, shivering, for one warm bowl of ramen. Ando watched intently. 'So many people long for a single bowl. Could I make ramen you can eat at home, quickly and easily?' He built a small shed behind his house and began researching alone. Day after day he toiled over noodles, but boiled noodles soon went soft and lost flavor. He failed hundreds of times. 'How can I make it keep, and return to normal with just hot water?' He begrudged even sleep. His worried wife called out late at night: 'Dear, why not rest? I fried tempura today.' That was the moment. Ando's eyes fixed on the tempura in the oil—countless bubbles rising from the batter, the moisture flying off. 'That's it! Fry the noodles and they dry; pour hot water into the tiny holes and they return.' Thus instant ramen was born. To reach the world, he also invented the edible 'cup.' On launch day, doubtful people poured hot water, waited three minutes, lifted the lid, and smiled. One man's tenacity changed dinner tables worldwide forever.</t>
        </is>
      </c>
      <c r="K2" s="3" t="inlineStr">
        <is>
          <t>〜ないだろうか／〜だけで／〜ば 元に戻る</t>
        </is>
      </c>
      <c r="L2" s="3" t="inlineStr">
        <is>
          <t>執念が世界を変えた発明。</t>
        </is>
      </c>
      <c r="M2" s="3" t="inlineStr">
        <is>
          <t>失敗の先のひらめき。</t>
        </is>
      </c>
      <c r="N2" s="3" t="inlineStr">
        <is>
          <t>多声TTS:ナレーター/安藤/妻</t>
        </is>
      </c>
    </row>
    <row r="3" ht="409.6" customHeight="1">
      <c r="A3" s="2" t="inlineStr">
        <is>
          <t>L-D-002</t>
        </is>
      </c>
      <c r="B3" s="2" t="inlineStr">
        <is>
          <t>長文</t>
        </is>
      </c>
      <c r="C3" s="3" t="inlineStr">
        <is>
          <t>ドキュメンタリー</t>
        </is>
      </c>
      <c r="D3" s="3" t="n"/>
      <c r="E3" s="3" t="inlineStr">
        <is>
          <t>新幹線――夢の超特急</t>
        </is>
      </c>
      <c r="F3" s="2" t="inlineStr">
        <is>
          <t>ドキュメンタリー</t>
        </is>
      </c>
      <c r="G3" s="2" t="inlineStr">
        <is>
          <t>N3</t>
        </is>
      </c>
      <c r="H3" s="3" t="inlineStr">
        <is>
          <t>（ナレーション）1964年（ねん）、東京（とうきょう）と大阪（おおさか）を結（むす）ぶ新幹線（しんかんせん）が走（はし）り始（はじ）めた。当時（とうじ）、時速（じそく）200キロを超（こ）える電車（でんしゃ）は、世界（せかい）のどこにも存在（そんざい）しなかった。
技術者（ぎじゅつしゃ）：「そんなスピードは危険（きけん）だ。脱線（だっせん）したら、大事故（だいじこ）になる」。
（ナレーション）多（おお）くの人（ひと）が、無理（むり）だと反対（はんたい）した。けれど、技術者（ぎじゅつしゃ）たちはあきらめなかった。彼（かれ）らは、空気（くうき）の力（ちから）、線路（せんろ）のカーブ、車輪（しゃりん）の揺（ゆ）れを、何度（なんど）も何度（なんど）も計算（けいさん）し直（なお）した。安全（あんぜん）のためなら、どんな小（ちい）さな問題（もんだい）も見逃（みのが）さなかった。
技術者：「ここで妥協（だきょう）すれば、必（かなら）ず後（あと）で事故（じこ）が起（お）きる。とことんやろう」。
（ナレーション）試験（しけん）と改良（かいりょう）の日々（ひび）。眠（ねむ）れない長（なが）い夜（よる）が続（つづ）いた。仲間（なかま）と知恵（ちえ）を出（だ）し合（あ）い、一（ひと）つずつ壁（かべ）を越（こ）えていく。そして迎（むか）えた開業（かいぎょう）の日（ひ）。白（しろ）と青（あお）の車両（しゃりょう）が、静（しず）かに、しかし力強（ちからづよ）くホームをすべり出（で）た。
（ナレーション）新幹線（しんかんせん）は、一度（いちど）の事故（じこ）もなく、東京（とうきょう）から大阪（おおさか）まで走（はし）りきった。「夢（ゆめ）の超特急（ちょうとっきゅう）」は、日本（にほん）の誇（ほこ）りとなった。それは単（たん）なる速（はや）い電車（でんしゃ）ではない。不可能（ふかのう）を可能（かのう）に変（か）えた、技術者（ぎじゅつしゃ）たちの執念（しゅうねん）の結晶（けっしょう）だった。
（ナレーション）かつて長（なが）い時間（じかん）がかかった東京（とうきょう）と大阪（おおさか）の間（あいだ）が、ぐっと近（ちか）くなった。仕事（しごと）でも旅行（りょこう）でも、日帰（ひがえ）りができる。新幹線（しんかんせん）は、人（ひと）と人（ひと）、町（まち）と町（まち）の距離（きょり）を、大（おお）きく縮（ちぢ）めたのだ。今（いま）も世界中（せかいじゅう）の高速鉄道（こうそくてつどう）が、この一本（いっぽん）の線路（せんろ）を手本（てほん）にし続（つづ）けている。</t>
        </is>
      </c>
      <c r="I3" s="2" t="n">
        <v>491</v>
      </c>
      <c r="J3" s="3" t="inlineStr">
        <is>
          <t>In 1964, the Shinkansen linking Tokyo and Osaka began to run. At the time, no train anywhere in the world exceeded 200 km/h. 'Such speed is dangerous. If it derails, there will be a terrible accident.' Many opposed it as impossible. But the engineers did not give up. They recalculated air resistance, track curves, and wheel vibration again and again. For safety, they overlooked no problem, however small. 'If we compromise here, an accident will surely come later. Let's see it through.' Days of testing and improvement; long sleepless nights. Sharing wisdom with colleagues, they cleared the walls one by one. Then came opening day. The white-and-blue cars slid quietly but powerfully from the platform. The Shinkansen ran the whole way from Tokyo to Osaka without a single accident. The 'dream super-express' became Japan's pride—not merely a fast train, but the crystallization of engineers' tenacity that turned the impossible into the possible. Even now, high-speed railways around the world look to this one line as their model.</t>
        </is>
      </c>
      <c r="K3" s="3" t="inlineStr">
        <is>
          <t>〜を超える／〜のためなら／〜きった</t>
        </is>
      </c>
      <c r="L3" s="3" t="inlineStr">
        <is>
          <t>不可能を可能にした執念。</t>
        </is>
      </c>
      <c r="M3" s="3" t="inlineStr">
        <is>
          <t>反対を覆した技術の結晶。</t>
        </is>
      </c>
      <c r="N3" s="3" t="inlineStr">
        <is>
          <t>多声TTS:ナレーター/技術者</t>
        </is>
      </c>
    </row>
    <row r="4" ht="409.6" customHeight="1">
      <c r="A4" s="2" t="inlineStr">
        <is>
          <t>L-D-003</t>
        </is>
      </c>
      <c r="B4" s="2" t="inlineStr">
        <is>
          <t>長文</t>
        </is>
      </c>
      <c r="C4" s="3" t="inlineStr">
        <is>
          <t>ドキュメンタリー</t>
        </is>
      </c>
      <c r="D4" s="3" t="n"/>
      <c r="E4" s="3" t="inlineStr">
        <is>
          <t>ライト兄弟、空へ</t>
        </is>
      </c>
      <c r="F4" s="2" t="inlineStr">
        <is>
          <t>ドキュメンタリー</t>
        </is>
      </c>
      <c r="G4" s="2" t="inlineStr">
        <is>
          <t>N3</t>
        </is>
      </c>
      <c r="H4" s="3" t="inlineStr">
        <is>
          <t>（ナレーション）100年（ねん）以上（いじょう）前（まえ）、アメリカの小（ちい）さな町（まち）に、自転車屋（じてんしゃや）を営（いとな）む二人（ふたり）の兄弟（きょうだい）がいた。ライト兄弟（きょうだい）である。当時（とうじ）、「人間（にんげん）が空（そら）を飛（と）ぶ」など、だれもが笑（わら）う夢物語（ゆめものがたり）だった。
兄（あに）：「鳥（とり）は、どうやって風（かぜ）を受（う）け、体（からだ）を傾（かたむ）けて曲（ま）がっているんだろう」。
（ナレーション）二人（ふたり）は来（く）る日（ひ）も来（く）る日（ひ）も、空（そら）をとぶ鳥（とり）を観察（かんさつ）した。翼（つばさ）の形（かたち）を作（つく）っては試（ため）し、こわれては、また作（つく）り直（なお）す。風（かぜ）の強（つよ）い丘（おか）で、何度（なんど）も地面（じめん）に たたきつけられた。それでも、二人（ふたり）の目（め）は、いつも空（そら）を見（み）ていた。
弟（おとうと）：「兄（あに）さん、今度（こんど）こそ、風（かぜ）に乗（の）れる気（き）がする」。
（ナレーション）1903年（ねん）の冷（つめ）たい冬（ふゆ）の朝（あさ）。強（つよ）い風（かぜ）の中（なか）、手作（てづく）りの飛行機（ひこうき）がエンジンの音（おと）を響（ひび）かせた。プロペラが回（まわ）り、機体（きたい）がゆっくりと動（うご）き出（だ）す。そして――ふわりと、車輪（しゃりん）が地面（じめん）を離（はな）れた。
（ナレーション）飛（と）んだ時間（じかん）は、わずか12秒（びょう）。距離（きょり）は、たった36メートル。けれどそれは、人類（じんるい）が自分（じぶん）の力（ちから）で初（はじ）めて空（そら）を飛（と）んだ、歴史（れきし）が変（か）わった瞬間（しゅんかん）だった。
（ナレーション）成功（せいこう）の裏（うら）には、何年（なんねん）もの地道（じみち）な努力（どりょく）があった。二人（ふたり）は、失敗（しっぱい）の記録（きろく）を一（ひと）つ残（のこ）らずノートに書（か）きとめ、つぎの工夫（くふう）に生（い）かしていったのだ。だれもが笑（わら）った夢（ゆめ）を、あきらめなかった二人（ふたり）。その小（ちい）さな12秒（びょう）から、世界中（せかいじゅう）の空（そら）の旅（たび）が始（はじ）まったのである。</t>
        </is>
      </c>
      <c r="I4" s="2" t="n">
        <v>473</v>
      </c>
      <c r="J4" s="3" t="inlineStr">
        <is>
          <t>More than a century ago, in a small American town, two brothers ran a bicycle shop: the Wright brothers. Back then, 'humans flying' was a fairy tale everyone laughed at. 'How do birds catch the wind and tilt their bodies to turn?' Day after day they watched birds in flight. They built wing shapes and tested them; when they broke, they rebuilt. On a windy hill they were dashed to the ground again and again. Yet their eyes were always on the sky. 'Brother, this time I feel we can ride the wind.' On a cold winter morning in 1903, in a strong wind, their handmade airplane roared. The propeller turned, the craft slowly moved—and then, gently, the wheels left the ground. The flight lasted just 12 seconds, only 36 meters. But it was the moment humanity first flew by its own power, and history changed. Two brothers who never gave up on a dream everyone mocked. From that tiny 12 seconds, the world's journeys through the sky began.</t>
        </is>
      </c>
      <c r="K4" s="3" t="inlineStr">
        <is>
          <t>〜だろう／〜ては 〜直す／それでも</t>
        </is>
      </c>
      <c r="L4" s="3" t="inlineStr">
        <is>
          <t>笑われた夢への挑戦。</t>
        </is>
      </c>
      <c r="M4" s="3" t="inlineStr">
        <is>
          <t>12秒が歴史を変えた。</t>
        </is>
      </c>
      <c r="N4" s="3" t="inlineStr">
        <is>
          <t>多声TTS:ナレーター/兄/弟</t>
        </is>
      </c>
    </row>
    <row r="5" ht="409.6" customHeight="1">
      <c r="A5" s="2" t="inlineStr">
        <is>
          <t>L-D-004</t>
        </is>
      </c>
      <c r="B5" s="2" t="inlineStr">
        <is>
          <t>長文</t>
        </is>
      </c>
      <c r="C5" s="3" t="inlineStr">
        <is>
          <t>ドキュメンタリー</t>
        </is>
      </c>
      <c r="D5" s="3" t="n"/>
      <c r="E5" s="3" t="inlineStr">
        <is>
          <t>エジソンと電球</t>
        </is>
      </c>
      <c r="F5" s="2" t="inlineStr">
        <is>
          <t>ドキュメンタリー</t>
        </is>
      </c>
      <c r="G5" s="2" t="inlineStr">
        <is>
          <t>N3</t>
        </is>
      </c>
      <c r="H5" s="3" t="inlineStr">
        <is>
          <t>（ナレーション）まだ電気（でんき）のない時代（じだい）。夜（よる）の暗（くら）やみを照（て）らすのは、ろうそくやランプの、小（ちい）さくゆれる炎（ほのお）だけだった。アメリカの発明家（はつめいか）エジソンは、決心（けっしん）した。「だれもが使（つか）える、長（なが）く明（あか）るい電球（でんきゅう）を作（つく）る」と。
（ナレーション）光（ひか）る糸（いと）の材料（ざいりょう）を探（さが）して、エジソンは実験（じっけん）をくり返（かえ）した。木綿（もめん）、紙（かみ）、髪（かみ）の毛（け）――ありとあらゆるものを試（ため）したが、糸（いと）はすぐに燃（も）えつきてしまう。失敗（しっぱい）の数（かず）は、千回（せんかい）をこえた。
助手（じょしゅ）：「先生（せんせい）、また失敗（しっぱい）です。もう、あきらめませんか」。
エジソン：「いや。これは失敗（しっぱい）じゃない。『うまくいかない方法（ほうほう）』を、また一（ひと）つ見（み）つけただけさ」。
（ナレーション）エジソンは、最後（さいご）まで信（しん）じることをやめなかった。やがて、日本（にほん）の竹（たけ）から作（つく）った細（ほそ）い糸（いと）が、なんと40時間（じかん）以上（いじょう）も光（ひか）り続（つづ）けた。研究室（けんきゅうしつ）に、あたたかな明（あ）かりがともった。
（ナレーション）その夜（よる）、世界（せかい）の暗（くら）やみは、少（すこ）しずつ明（あか）るく照（て）らされていった。電球（でんきゅう）だけではない。エジソンは生涯（しょうがい）に千以上（せんいじょう）もの発明（はつめい）を世（よ）に残（のこ）した。その原動力（げんどうりょく）は、子（こ）どものころから変（か）わらない「なぜ？」という強（つよ）い好奇心（こうきしん）だった。
（ナレーション）「天才（てんさい）とは、1パーセントのひらめきと、99パーセントの努力（どりょく）である」。失敗（しっぱい）を恐（おそ）れず、努力（どりょく）を続（つづ）けたエジソンの言葉（ことば）は、今（いま）も世界中（せかいじゅう）の人（ひと）の胸（むね）に生（い）きている。</t>
        </is>
      </c>
      <c r="I5" s="2" t="n">
        <v>479</v>
      </c>
      <c r="J5" s="3" t="inlineStr">
        <is>
          <t>In an age without electricity, the only thing lighting the darkness of night was the small, flickering flame of candles and lamps. The American inventor Edison resolved: 'I will make a long-lasting, bright bulb that anyone can use.' Searching for a glowing filament, Edison repeated experiments—cotton, paper, hair—he tried everything, but the thread burned out at once. His failures passed a thousand. 'Sir, another failure. Shouldn't we give up?' 'No. This isn't failure. I've just found one more way that doesn't work.' Edison never stopped believing. Eventually, a thin filament made from Japanese bamboo glowed for over 40 hours. A warm light came on in the lab. That night, the world's darkness was lit, little by little. 'Genius is 1% inspiration and 99% perspiration.' The words of Edison, who feared no failure and kept on striving, still live in people's hearts around the world.</t>
        </is>
      </c>
      <c r="K5" s="3" t="inlineStr">
        <is>
          <t>〜と決心した／くり返した／〜じゃない</t>
        </is>
      </c>
      <c r="L5" s="3" t="inlineStr">
        <is>
          <t>失敗を恐れぬ努力。</t>
        </is>
      </c>
      <c r="M5" s="3" t="inlineStr">
        <is>
          <t>世界の夜を明るくした。</t>
        </is>
      </c>
      <c r="N5" s="3" t="inlineStr">
        <is>
          <t>多声TTS:ナレーター/エジソン/助手</t>
        </is>
      </c>
    </row>
    <row r="6" ht="409.6" customHeight="1">
      <c r="A6" s="2" t="inlineStr">
        <is>
          <t>L-D-005</t>
        </is>
      </c>
      <c r="B6" s="2" t="inlineStr">
        <is>
          <t>長文</t>
        </is>
      </c>
      <c r="C6" s="3" t="inlineStr">
        <is>
          <t>ドキュメンタリー</t>
        </is>
      </c>
      <c r="D6" s="3" t="n"/>
      <c r="E6" s="3" t="inlineStr">
        <is>
          <t>ヘレン・ケラーと先生</t>
        </is>
      </c>
      <c r="F6" s="2" t="inlineStr">
        <is>
          <t>ドキュメンタリー</t>
        </is>
      </c>
      <c r="G6" s="2" t="inlineStr">
        <is>
          <t>N3</t>
        </is>
      </c>
      <c r="H6" s="3" t="inlineStr">
        <is>
          <t>（ナレーション）目（め）が見（み）えず、耳（みみ）も聞（き）こえない少女（しょうじょ）がいた。ヘレン・ケラー。言葉（ことば）を知（し）らない彼女（かのじょ）の心（こころ）は、出口（でぐち）のない暗（くら）い闇（やみ）の中（なか）にあった。思（おも）い通（どお）りにならず、ヘレンは毎日（まいにち）あばれ、家族（かぞく）も困（こま）りはてていた。
（ナレーション）そんなある日（ひ）、一人（ひとり）の家庭教師（かていきょうし）がやって来（き）た。サリバン先生（せんせい）である。
サリバン：「あきらめません。わたしが、あなたに世界（せかい）の名前（なまえ）を教（おし）えます」。
（ナレーション）先生（せんせい）は、ヘレンの手（て）のひらに、指（ゆび）で何度（なんど）も文字（もじ）を書（か）いた。コップ、人形（にんぎょう）、いす……。けれどヘレンには、それが「名前（なまえ）」だとわからない。根気（こんき）のいる日々（ひび）が続（つづ）いた。
（ナレーション）ある朝（あさ）、二人（ふたり）は井戸（いど）のそばにいた。先生（せんせい）がヘレンの手（て）に、冷（つめ）たい水（みず）を流（なが）しながら、もう一方（いっぽう）の手（て）に「W-A-T-E-R」と書（か）いた。その瞬間（しゅんかん）、ヘレンの体（からだ）に電気（でんき）が走（はし）ったように、はっと動（うご）きが止（と）まった。「そうか……これが『水（みず）』なんだ！」。
（ナレーション）世界（せかい）のすべてに名前（なまえ）があると知（し）った、その日（ひ）。ヘレンの暗（くら）い世界（せかい）に、光（ひかり）がさした。やがて彼女（かのじょ）は懸命（けんめい）に学（まな）び、大学（だいがく）を卒業（そつぎょう）した。
（ナレーション）後（のち）にヘレンは、世界中（せかいじゅう）を旅（たび）して講演（こうえん）し、目（め）や耳（みみ）の不自由（ふじゆう）な人々（ひとびと）のために力（ちから）をつくした。「世界（せかい）は苦（くる）しみに満（み）ちているが、それを乗（の）りこえる力（ちから）にも満（み）ちている」。サリバン先生（せんせい）とヘレンの物語（ものがたり）は、同（おな）じ苦（くる）しみを持（も）つ世界中（せかいじゅう）の人々（ひとびと）に、今（いま）も希望（きぼう）を与（あた）え続（つづ）けている。</t>
        </is>
      </c>
      <c r="I6" s="2" t="n">
        <v>508</v>
      </c>
      <c r="J6" s="3" t="inlineStr">
        <is>
          <t>There was a girl who could neither see nor hear: Helen Keller. Knowing no words, her heart was in a dark gloom with no exit. Unable to make herself understood, Helen raged every day, and her family was at a loss. Then one day a tutor came—Miss Sullivan. 'I won't give up. I will teach you the names of the world.' The teacher wrote letters with her finger on Helen's palm, again and again—cup, doll, chair. But Helen couldn't grasp that these were 'names.' Patient days continued. One morning, the two were by a well. As the teacher let cold water flow over one of Helen's hands, she spelled 'W-A-T-E-R' on the other. In that instant, as if electricity ran through her, Helen froze. 'I see... this is water!' The day she learned that everything in the world has a name, light shone into her dark world. In time she studied hard, graduated from university, and became someone who gave hope to people worldwide who shared her struggle.</t>
        </is>
      </c>
      <c r="K6" s="3" t="inlineStr">
        <is>
          <t>〜ません／〜ながら／〜と知った</t>
        </is>
      </c>
      <c r="L6" s="3" t="inlineStr">
        <is>
          <t>闇に光がさした瞬間。</t>
        </is>
      </c>
      <c r="M6" s="3" t="inlineStr">
        <is>
          <t>学ぶ喜びと希望。</t>
        </is>
      </c>
      <c r="N6" s="3" t="inlineStr">
        <is>
          <t>多声TTS:ナレーター/サリバン</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zoomScale="70" zoomScaleNormal="70" workbookViewId="0">
      <pane ySplit="1" topLeftCell="A2" activePane="bottomLeft" state="frozen"/>
      <selection pane="bottomLeft" activeCell="F2" sqref="F2"/>
    </sheetView>
  </sheetViews>
  <sheetFormatPr baseColWidth="8" defaultRowHeight="14.4"/>
  <cols>
    <col width="13" customWidth="1" min="1" max="1"/>
    <col width="6" customWidth="1" min="2" max="2"/>
    <col width="12" customWidth="1" min="3" max="3"/>
    <col width="14" customWidth="1" min="4" max="4"/>
    <col width="22" customWidth="1" min="5" max="5"/>
    <col width="8" customWidth="1" min="6" max="6"/>
    <col width="9" customWidth="1" min="7" max="7"/>
    <col width="70" customWidth="1" min="8" max="8"/>
    <col width="6" customWidth="1" min="9" max="9"/>
    <col width="60" customWidth="1" min="10" max="10"/>
    <col width="26" customWidth="1" min="11" max="11"/>
    <col width="24" customWidth="1" min="12" max="13"/>
    <col width="16" customWidth="1" min="14" max="14"/>
  </cols>
  <sheetData>
    <row r="1" ht="43.2" customHeight="1">
      <c r="A1" s="1" t="inlineStr">
        <is>
          <t>ID</t>
        </is>
      </c>
      <c r="B1" s="1" t="inlineStr">
        <is>
          <t>タブ</t>
        </is>
      </c>
      <c r="C1" s="1" t="inlineStr">
        <is>
          <t>カテゴリー</t>
        </is>
      </c>
      <c r="D1" s="1" t="inlineStr">
        <is>
          <t>サブテーマ</t>
        </is>
      </c>
      <c r="E1" s="1" t="inlineStr">
        <is>
          <t>タイトル</t>
        </is>
      </c>
      <c r="F1" s="1" t="inlineStr">
        <is>
          <t>形式</t>
        </is>
      </c>
      <c r="G1" s="1" t="inlineStr">
        <is>
          <t>対象レベル(非表示)</t>
        </is>
      </c>
      <c r="H1" s="1" t="inlineStr">
        <is>
          <t>本文</t>
        </is>
      </c>
      <c r="I1" s="1" t="inlineStr">
        <is>
          <t>字数</t>
        </is>
      </c>
      <c r="J1" s="1" t="inlineStr">
        <is>
          <t>英訳</t>
        </is>
      </c>
      <c r="K1" s="1" t="inlineStr">
        <is>
          <t>キー表現</t>
        </is>
      </c>
      <c r="L1" s="1" t="inlineStr">
        <is>
          <t>ポイント</t>
        </is>
      </c>
      <c r="M1" s="1" t="inlineStr">
        <is>
          <t>楽しさ・継続フック</t>
        </is>
      </c>
      <c r="N1" s="1" t="inlineStr">
        <is>
          <t>備考(音声)</t>
        </is>
      </c>
    </row>
    <row r="2" ht="300" customHeight="1">
      <c r="A2" s="2" t="inlineStr">
        <is>
          <t>L-T-001</t>
        </is>
      </c>
      <c r="B2" s="2" t="inlineStr">
        <is>
          <t>長文</t>
        </is>
      </c>
      <c r="C2" s="3" t="inlineStr">
        <is>
          <t>昔話</t>
        </is>
      </c>
      <c r="D2" s="3" t="n"/>
      <c r="E2" s="3" t="inlineStr">
        <is>
          <t>桃太郎</t>
        </is>
      </c>
      <c r="F2" s="2" t="inlineStr">
        <is>
          <t>物語</t>
        </is>
      </c>
      <c r="G2" s="2" t="inlineStr">
        <is>
          <t>N4</t>
        </is>
      </c>
      <c r="H2" s="3" t="inlineStr">
        <is>
          <t>（ナレーション）むかしむかし、あるところに、おじいさんとおばあさんが住（す）んでいました。ある日（ひ）、川（かわ）で大（おお）きな桃（もも）を拾（ひろ）い、家（いえ）で割（わ）ると、中（なか）から元気（げんき）な男（おとこ）の子（こ）が飛（と）び出（だ）しました。二人（ふたり）はその子（こ）を桃太郎（ももたろう）と名（な）づけ、大切（たいせつ）に育（そだ）てました。
（ナレーション）やがて、村（むら）を荒（あ）らす鬼（おに）の話（はなし）を聞（き）いた桃太郎（ももたろう）は、鬼（おに）ヶ島（しま）へ向（む）かう決心（けっしん）をします。
桃太郎：「おばあさんのきびだんごをあげるから、いっしょに来（き）てくれないか」。
（ナレーション）道（みち）の途中（とちゅう）で、犬（いぬ）、猿（さる）、きじが仲間（なかま）になりました。鬼（おに）ヶ島（しま）に着（つ）くと、おそろしい鬼（おに）たちが暴（あば）れています。桃太郎（ももたろう）たちは力（ちから）を合（あ）わせて勇敢（ゆうかん）に戦（たたか）い、ついに鬼（おに）を降参（こうさん）させました。鬼（おに）は奪（うば）った宝物（たからもの）を返（かえ）し、二度（にど）と悪（わる）いことをしないと約束（やくそく）しました。桃太郎（ももたろう）は宝物（たからもの）を持（も）ち帰（かえ）り、村（むら）のみんなと幸（しあわ）せに暮（く）らしました。</t>
        </is>
      </c>
      <c r="I2" s="2" t="n">
        <v>303</v>
      </c>
      <c r="J2" s="3" t="inlineStr">
        <is>
          <t>Long ago, an old man and woman lived in a certain place. One day they found a huge peach in the river; when they split it at home, a healthy boy leapt out. They named him Momotaro and raised him with care. In time, hearing of ogres ravaging the village, Momotaro resolved to go to Ogre Island. 'I'll give you Grandma's millet dumplings, so will you come with me?' Along the way, a dog, a monkey, and a pheasant became his companions. On Ogre Island, fearsome ogres were rampaging. Joining their strength, Momotaro and friends fought bravely and at last made the ogres surrender. The ogres returned the stolen treasure and promised never to do wrong again. Momotaro brought the treasure home and lived happily with everyone in the village.</t>
        </is>
      </c>
      <c r="K2" s="3" t="inlineStr">
        <is>
          <t>〜決心をする／〜くれないか／力を合わせて</t>
        </is>
      </c>
      <c r="L2" s="3" t="inlineStr">
        <is>
          <t>鬼退治まで一話完結。</t>
        </is>
      </c>
      <c r="M2" s="3" t="inlineStr">
        <is>
          <t>仲間と力を合わせる。</t>
        </is>
      </c>
      <c r="N2" s="3" t="inlineStr">
        <is>
          <t>多声TTS:ナレーター/桃太郎</t>
        </is>
      </c>
    </row>
    <row r="3" ht="315" customHeight="1">
      <c r="A3" s="2" t="inlineStr">
        <is>
          <t>L-T-002</t>
        </is>
      </c>
      <c r="B3" s="2" t="inlineStr">
        <is>
          <t>長文</t>
        </is>
      </c>
      <c r="C3" s="3" t="inlineStr">
        <is>
          <t>昔話</t>
        </is>
      </c>
      <c r="D3" s="3" t="n"/>
      <c r="E3" s="3" t="inlineStr">
        <is>
          <t>浦島太郎</t>
        </is>
      </c>
      <c r="F3" s="2" t="inlineStr">
        <is>
          <t>物語</t>
        </is>
      </c>
      <c r="G3" s="2" t="inlineStr">
        <is>
          <t>N4</t>
        </is>
      </c>
      <c r="H3" s="3" t="inlineStr">
        <is>
          <t>（ナレーション）むかし、浦島太郎（うらしまたろう）という心（こころ）やさしい漁師（りょうし）がいました。ある日（ひ）、浜辺（はまべ）で子（こ）どもたちにいじめられている亀（かめ）を見（み）つけ、お金（かね）をはらって助（たす）けてやりました。
（ナレーション）数日後（すうじつご）、海（うみ）に出（で）た太郎（たろう）の前（まえ）に、あの亀（かめ）が現（あらわ）れました。「助（たす）けてくれたお礼（れい）に」と、太郎（たろう）を背中（せなか）に乗（の）せ、海（うみ）の底（そこ）の竜宮城（りゅうぐうじょう）へ連（つ）れて行（い）きました。そこでは美（うつく）しい乙姫（おとひめ）が、ごちそうと踊（おど）りで太郎（たろう）をもてなしました。
乙姫：「おみやげの玉手箱（たまてばこ）です。でも、けっして開（あ）けてはいけませんよ」。
（ナレーション）夢（ゆめ）のような日々（ひび）。けれど村（むら）が恋（こい）しくなった太郎（たろう）は、玉手箱（たまてばこ）を持（も）って帰（かえ）りました。ところが、村（むら）はすっかり変（か）わり、知（し）っている人（ひと）は一人（ひとり）もいません。竜宮城（りゅうぐうじょう）での数日（すうじつ）の間（あいだ）に、地上（ちじょう）では何百年（なんびゃくねん）も過（す）ぎていたのです。さびしさのあまり、太郎（たろう）が約束（やくそく）を忘（わす）れて箱（はこ）を開（あ）けると、白（しろ）い煙（けむり）がもくもくと出（で）て、太郎（たろう）はたちまち白髪（しらが）のおじいさんになってしまいました。</t>
        </is>
      </c>
      <c r="I3" s="2" t="n">
        <v>351</v>
      </c>
      <c r="J3" s="3" t="inlineStr">
        <is>
          <t>Long ago there was a kind-hearted fisherman named Urashima Taro. One day on the beach he found a turtle being bullied by children, and paid money to save it. A few days later, out at sea, that turtle appeared before him. 'To thank you for saving me,' it carried Taro on its back to the Dragon Palace at the bottom of the sea. There the beautiful Otohime hosted Taro with feasts and dancing. 'Here is a parting gift, the tamatebako. But you must never open it.' Dreamlike days passed. But missing his village, Taro went home with the box. Yet the village had completely changed, and not a single person he knew remained. During his few days in the palace, hundreds of years had passed on land. Out of loneliness, forgetting the promise, Taro opened the box; white smoke billowed out, and he instantly became a white-haired old man.</t>
        </is>
      </c>
      <c r="K3" s="3" t="inlineStr">
        <is>
          <t>〜てやる／けっして〜てはいけない／〜のあまり</t>
        </is>
      </c>
      <c r="L3" s="3" t="inlineStr">
        <is>
          <t>玉手箱の結末まで完結。</t>
        </is>
      </c>
      <c r="M3" s="3" t="inlineStr">
        <is>
          <t>約束を破った代償。</t>
        </is>
      </c>
      <c r="N3" s="3" t="inlineStr">
        <is>
          <t>多声TTS:ナレーター/乙姫</t>
        </is>
      </c>
    </row>
    <row r="4" ht="300" customHeight="1">
      <c r="A4" s="2" t="inlineStr">
        <is>
          <t>L-T-003</t>
        </is>
      </c>
      <c r="B4" s="2" t="inlineStr">
        <is>
          <t>長文</t>
        </is>
      </c>
      <c r="C4" s="3" t="inlineStr">
        <is>
          <t>昔話</t>
        </is>
      </c>
      <c r="D4" s="3" t="n"/>
      <c r="E4" s="3" t="inlineStr">
        <is>
          <t>かぐや姫</t>
        </is>
      </c>
      <c r="F4" s="2" t="inlineStr">
        <is>
          <t>物語</t>
        </is>
      </c>
      <c r="G4" s="2" t="inlineStr">
        <is>
          <t>N4</t>
        </is>
      </c>
      <c r="H4" s="3" t="inlineStr">
        <is>
          <t>（ナレーション）むかし、竹（たけ）を取（と）って暮（く）らすおじいさんがいました。ある日（ひ）、根元（ねもと）が光（ひか）る竹（たけ）を見（み）つけ、切（き）ってみると、中（なか）に手（て）のひらほどの小（ちい）さな女（おんな）の子（こ）がいました。子（こ）どものいなかった夫婦（ふうふ）は大喜（おおよろこ）びで、その子（こ）をかぐや姫（ひめ）と名（な）づけ、大切（たいせつ）に育（そだ）てました。
（ナレーション）かぐや姫（ひめ）は、月（つき）のように美（うつく）しい娘（むすめ）に育（そだ）ちました。うわさを聞（き）いた多（おお）くの男（おとこ）たちが結婚（けっこん）を申（もう）し込（こ）みましたが、姫（ひめ）は首（くび）を縦（たて）に振（ふ）りません。
かぐや姫：「ごめんなさい。わたしは、近（ちか）いうちに月（つき）へ帰（かえ）らなければならないのです」。
（ナレーション）実（じつ）は、かぐや姫（ひめ）は月（つき）の世界（せかい）から来（き）た人（ひと）でした。満月（まんげつ）の夜（よる）、空（そら）から大勢（おおぜい）の使（つか）いが、光（ひかり）とともに姫（ひめ）を迎（むか）えに来（き）ました。おじいさんとおばあさんは泣（な）いて引（ひ）き止（と）めましたが、別（わか）れの時（とき）は来（き）てしまいます。姫（ひめ）は二人（ふたり）に深（ふか）く感謝（かんしゃ）し、別（わか）れを惜（お）しみながら、静（しず）かに天（てん）へのぼっていきました。</t>
        </is>
      </c>
      <c r="I4" s="2" t="n">
        <v>329</v>
      </c>
      <c r="J4" s="3" t="inlineStr">
        <is>
          <t>Long ago there was an old man who made his living cutting bamboo. One day he found a stalk glowing at its base; when he cut it, inside was a tiny girl the size of a palm. The childless couple were overjoyed, named her Kaguya-hime, and raised her with care. Kaguya-hime grew into a maiden as beautiful as the moon. Many men who heard the rumor proposed marriage, but the princess would not nod yes. 'I'm sorry. I must return to the moon before long.' In truth, Kaguya-hime was from the world of the moon. On the night of the full moon, a great host of envoys came from the sky with light to fetch her. The old couple wept and tried to hold her back, but the time of parting came. Deeply grateful to them, sad to part, the princess quietly ascended to the heavens.</t>
        </is>
      </c>
      <c r="K4" s="3" t="inlineStr">
        <is>
          <t>〜ません／〜なければならない／〜ながら</t>
        </is>
      </c>
      <c r="L4" s="3" t="inlineStr">
        <is>
          <t>月へ帰るまで完結。</t>
        </is>
      </c>
      <c r="M4" s="3" t="inlineStr">
        <is>
          <t>別れの切なさ。</t>
        </is>
      </c>
      <c r="N4" s="3" t="inlineStr">
        <is>
          <t>多声TTS:ナレーター/かぐや姫</t>
        </is>
      </c>
    </row>
    <row r="5" ht="345" customHeight="1">
      <c r="A5" s="2" t="inlineStr">
        <is>
          <t>L-T-004</t>
        </is>
      </c>
      <c r="B5" s="2" t="inlineStr">
        <is>
          <t>長文</t>
        </is>
      </c>
      <c r="C5" s="3" t="inlineStr">
        <is>
          <t>昔話</t>
        </is>
      </c>
      <c r="D5" s="3" t="n"/>
      <c r="E5" s="3" t="inlineStr">
        <is>
          <t>鶴の恩返し</t>
        </is>
      </c>
      <c r="F5" s="2" t="inlineStr">
        <is>
          <t>物語</t>
        </is>
      </c>
      <c r="G5" s="2" t="inlineStr">
        <is>
          <t>N3</t>
        </is>
      </c>
      <c r="H5" s="3" t="inlineStr">
        <is>
          <t>（ナレーション）さむい雪（ゆき）の日（ひ）、一人（ひとり）の男（おとこ）が、わなにかかって苦（くる）しんでいる鶴（つる）を見（み）つけ、そっと逃（に）がしてやりました。その夜（よる）、戸（と）をたたく音（おと）がして、美（うつく）しい女（おんな）の人（ひと）が「道（みち）に迷（まよ）った」とたずねて来（き）ました。やがて二人（ふたり）は夫婦（ふうふ）になりました。
（ナレーション）まずしい暮（く）らしを助（たす）けようと、妻（つま）は機（はた）を織（お）りはじめました。
妻：「布（ぬの）を織（お）っている間（あいだ）は、けっして部屋（へや）をのぞかないでください」。
（ナレーション）でき上（あ）がった布（ぬの）は、おどろくほど美（うつく）しく、高（たか）い値段（ねだん）で売（う）れました。けれど男（おとこ）は、どうしても中（なか）が気（き）になります。ある日（ひ）、約束（やくそく）を破（やぶ）ってそっとのぞくと――そこにいたのは、やせ細（ほそ）った鶴（つる）が、自分（じぶん）の羽根（はね）を一本（いっぽん）ずつ抜（ぬ）いて、布（ぬの）に織（お）り込（こ）んでいる姿（すがた）でした。あの日（ひ）助（たす）けた鶴（つる）の、恩返（おんがえ）しだったのです。
妻：「姿（すがた）を見（み）られたからには、もう、ここにはいられません」。
（ナレーション）妻（つま）は一羽（いちわ）の鶴（つる）にもどり、何度（なんど）も振（ふ）り返（かえ）りながら、雪空（ゆきぞら）へ飛（と）び去（さ）っていきました。</t>
        </is>
      </c>
      <c r="I5" s="2" t="n">
        <v>354</v>
      </c>
      <c r="J5" s="3" t="inlineStr">
        <is>
          <t>On a cold, snowy day, a man found a crane suffering in a trap and gently set it free. That night, there was a knock at the door, and a beautiful woman came saying she had lost her way. In time the two became husband and wife. To help their poor life, the wife began to weave at the loom. 'While I weave the cloth, never look into the room.' The finished cloth was astonishingly beautiful and sold for a high price. But the man couldn't stop wondering what was inside. One day, breaking the promise, he quietly peeked—and there was a gaunt crane, plucking its own feathers one by one and weaving them into the cloth. It was the crane he had saved, repaying his kindness. 'Now that you have seen my true form, I can no longer stay here.' The wife turned back into a crane and, looking back again and again, flew away into the snowy sky.</t>
        </is>
      </c>
      <c r="K5" s="3" t="inlineStr">
        <is>
          <t>〜てやる／けっして〜ないで／〜からには</t>
        </is>
      </c>
      <c r="L5" s="3" t="inlineStr">
        <is>
          <t>恩返しと別れまで完結。</t>
        </is>
      </c>
      <c r="M5" s="3" t="inlineStr">
        <is>
          <t>見るなの約束。</t>
        </is>
      </c>
      <c r="N5" s="3" t="inlineStr">
        <is>
          <t>多声TTS:ナレーター/妻</t>
        </is>
      </c>
    </row>
    <row r="6" ht="345" customHeight="1">
      <c r="A6" s="2" t="inlineStr">
        <is>
          <t>L-T-005</t>
        </is>
      </c>
      <c r="B6" s="2" t="inlineStr">
        <is>
          <t>長文</t>
        </is>
      </c>
      <c r="C6" s="3" t="inlineStr">
        <is>
          <t>昔話</t>
        </is>
      </c>
      <c r="D6" s="3" t="n"/>
      <c r="E6" s="3" t="inlineStr">
        <is>
          <t>笠地蔵</t>
        </is>
      </c>
      <c r="F6" s="2" t="inlineStr">
        <is>
          <t>物語</t>
        </is>
      </c>
      <c r="G6" s="2" t="inlineStr">
        <is>
          <t>N4</t>
        </is>
      </c>
      <c r="H6" s="3" t="inlineStr">
        <is>
          <t>（ナレーション）年（とし）の暮（く）れ、まずしいけれど心（こころ）のやさしいおじいさんが、お正月（しょうがつ）のもちを買（か）うお金（かね）にしようと、手作（てづく）りの笠（かさ）を町（まち）へ売（う）りに行（い）きました。けれど、笠（かさ）は一（ひと）つも売（う）れず、雪（ゆき）まで降（ふ）り出（だ）してしまいました。
（ナレーション）すごすごと帰（かえ）る道（みち）、おじいさんは、雪（ゆき）の中（なか）に並（なら）んで立（た）つ六体（ろくたい）のお地蔵（じぞう）さまを見（み）つけました。頭（あたま）に雪（ゆき）を積（つ）もらせて、寒（さむ）そうにしています。
おじいさん：「お地蔵（じぞう）さま、さぞ寒（さむ）かろう。これをどうぞ」。
（ナレーション）おじいさんは、売（う）り物（もの）の笠（かさ）を一（ひと）つずつかぶせてあげました。けれど笠（かさ）は五（いつ）つしかなく、一（ひと）つ足（た）りません。そこで、自分（じぶん）がかぶっていた手（て）ぬぐいを取（と）って、最後（さいご）のお地蔵（じぞう）さまの頭（あたま）にかけてあげました。
（ナレーション）その夜（よる）、ふしぎなことが起（お）こりました。明（あ）け方（がた）、外（そと）で重（おも）い物（もの）を置（お）くような音（おと）がします。戸（と）を開（あ）けると、米（こめ）やもち、おせちのごちそうが、山（やま）のように積（つ）まれていたのです。雪（ゆき）の上（うえ）には、六体（ろくたい）のお地蔵（じぞう）さまの足跡（あしあと）が残（のこ）っていました。親切（しんせつ）への、お礼（れい）だったのです。</t>
        </is>
      </c>
      <c r="I6" s="2" t="n">
        <v>381</v>
      </c>
      <c r="J6" s="3" t="inlineStr">
        <is>
          <t>At year's end, a poor but kind-hearted old man went to town to sell handmade straw hats, hoping to buy mochi for New Year. But not one hat sold, and it even began to snow. Trudging home, the old man found six Jizo statues standing in a row in the snow, snow piling on their heads, looking cold. 'O Jizo, you must be very cold. Please take these.' He placed his hats on them one by one. But he had only five hats—one short. So he took off the hand towel he was wearing and put it on the last Jizo's head. That night, something mysterious happened. Toward dawn, there was a sound outside like heavy things being set down. When he opened the door, rice, mochi, and New Year feasts were piled like a mountain. In the snow remained the footprints of six Jizo. It was their thanks for his kindness.</t>
        </is>
      </c>
      <c r="K6" s="3" t="inlineStr">
        <is>
          <t>〜かろう／〜てあげる／〜のように</t>
        </is>
      </c>
      <c r="L6" s="3" t="inlineStr">
        <is>
          <t>親切が報われ完結。</t>
        </is>
      </c>
      <c r="M6" s="3" t="inlineStr">
        <is>
          <t>小さな親切の奇跡。</t>
        </is>
      </c>
      <c r="N6" s="3" t="inlineStr">
        <is>
          <t>多声TTS:ナレーター/おじいさん</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sheetData>
    <row r="1">
      <c r="A1" t="inlineStr">
        <is>
          <t>ID</t>
        </is>
      </c>
      <c r="B1" t="inlineStr">
        <is>
          <t>タブ</t>
        </is>
      </c>
      <c r="C1" t="inlineStr">
        <is>
          <t>カテゴリー</t>
        </is>
      </c>
      <c r="D1" t="inlineStr">
        <is>
          <t>サブテーマ</t>
        </is>
      </c>
      <c r="E1" t="inlineStr">
        <is>
          <t>タイトル</t>
        </is>
      </c>
      <c r="F1" t="inlineStr">
        <is>
          <t>形式</t>
        </is>
      </c>
      <c r="G1" t="inlineStr">
        <is>
          <t>対象レベル(非表示)</t>
        </is>
      </c>
      <c r="H1" t="inlineStr">
        <is>
          <t>本文</t>
        </is>
      </c>
      <c r="I1" t="inlineStr">
        <is>
          <t>字数</t>
        </is>
      </c>
      <c r="J1" t="inlineStr">
        <is>
          <t>英訳</t>
        </is>
      </c>
      <c r="K1" t="inlineStr">
        <is>
          <t>キー表現</t>
        </is>
      </c>
      <c r="L1" t="inlineStr">
        <is>
          <t>ポイント</t>
        </is>
      </c>
      <c r="M1" t="inlineStr">
        <is>
          <t>楽しさ・継続フック</t>
        </is>
      </c>
      <c r="N1" t="inlineStr">
        <is>
          <t>備考(音声)</t>
        </is>
      </c>
    </row>
    <row r="2">
      <c r="A2" t="inlineStr">
        <is>
          <t>L-R-001</t>
        </is>
      </c>
      <c r="B2" t="inlineStr">
        <is>
          <t>長文</t>
        </is>
      </c>
      <c r="C2" t="inlineStr">
        <is>
          <t>ニュース</t>
        </is>
      </c>
      <c r="E2" t="inlineStr">
        <is>
          <t>桜が満開（国内）</t>
        </is>
      </c>
      <c r="F2" t="inlineStr">
        <is>
          <t>ニュース</t>
        </is>
      </c>
      <c r="G2" t="inlineStr">
        <is>
          <t>N3</t>
        </is>
      </c>
      <c r="H2" t="inlineStr">
        <is>
          <t>おはようございます。今朝（けさ）の ニュースです。昨日（きのう）、東京（とうきょう）の 公園（こうえん）で 桜（さくら）が 満開（まんかい）に なりました。週末（しゅうまつ）は たくさんの 家族（かぞく）連（づ）れで にぎわいそうです。天気（てんき）も よく、お花見（はなみ）に ぴったりの 一日（いちにち）に なるでしょう。一方（いっぽう）、来週（らいしゅう）からは 少（すこ）し 寒（さむ）く なるという 予報（よほう）も 出（で）ています。体調（たいちょう）に 気（き）を つけて お過（す）ごしください。では、今日（きょう）も よい 一日を。</t>
        </is>
      </c>
      <c r="I2" t="n">
        <v>142</v>
      </c>
      <c r="J2" t="inlineStr">
        <is>
          <t>Good morning. Here's this morning's news. Yesterday, the cherry blossoms reached full bloom in a Tokyo park. This weekend it should be crowded with families. The weather is good too—a perfect day for hanami. On the other hand, it's forecast to get a bit colder from next week. Please take care of your health. Have a good day.</t>
        </is>
      </c>
      <c r="K2" t="inlineStr">
        <is>
          <t>今朝の ニュース／満開／〜そうです／一方</t>
        </is>
      </c>
      <c r="L2" t="inlineStr">
        <is>
          <t>ニュースの流れと話題転換「一方」。</t>
        </is>
      </c>
      <c r="M2" t="inlineStr">
        <is>
          <t>季節感で“朝の習慣”に。</t>
        </is>
      </c>
      <c r="N2" t="inlineStr">
        <is>
          <t>1話者・アナウンサー調</t>
        </is>
      </c>
    </row>
    <row r="3">
      <c r="A3" t="inlineStr">
        <is>
          <t>L-R-002</t>
        </is>
      </c>
      <c r="B3" t="inlineStr">
        <is>
          <t>長文</t>
        </is>
      </c>
      <c r="C3" t="inlineStr">
        <is>
          <t>ニュース</t>
        </is>
      </c>
      <c r="E3" t="inlineStr">
        <is>
          <t>全国の天気（天気）</t>
        </is>
      </c>
      <c r="F3" t="inlineStr">
        <is>
          <t>天気予報</t>
        </is>
      </c>
      <c r="G3" t="inlineStr">
        <is>
          <t>N4</t>
        </is>
      </c>
      <c r="H3" t="inlineStr">
        <is>
          <t>全国（ぜんこく）の 天気（てんき）です。今日（きょう）は 西日本（にしにほん）で 晴（は）れますが、東日本（ひがしにほん）は 午後（ごご）から 雲（くも）が 多（おお）く なるでしょう。夜（よる）には 雨（あめ）が 降（ふ）る 所（ところ）も あります。傘（かさ）を 持（も）って 出（で）かけると 安心（あんしん）です。気温（きおん）は 各地（かくち）で 20度（ど）前後（ぜんご）、過（す）ごしやすい 一日（いちにち）に なりそうです。</t>
        </is>
      </c>
      <c r="I3" t="n">
        <v>97</v>
      </c>
      <c r="J3" t="inlineStr">
        <is>
          <t>Here's the nationwide weather. Today it's sunny in western Japan, but in eastern Japan clouds will increase from the afternoon. Some areas may see rain at night. It's safer to take an umbrella. Temperatures will be around 20 degrees—a comfortable day.</t>
        </is>
      </c>
      <c r="K3" t="inlineStr">
        <is>
          <t>晴れます／雲が 多く なる／傘を 持って</t>
        </is>
      </c>
      <c r="L3" t="inlineStr">
        <is>
          <t>全国天気の聞き取り（地域差）。</t>
        </is>
      </c>
      <c r="M3" t="inlineStr">
        <is>
          <t>「傘いる?」毎朝役立つ。</t>
        </is>
      </c>
      <c r="N3" t="inlineStr">
        <is>
          <t>1話者・予報士調</t>
        </is>
      </c>
    </row>
    <row r="4">
      <c r="A4" t="inlineStr">
        <is>
          <t>L-R-003</t>
        </is>
      </c>
      <c r="B4" t="inlineStr">
        <is>
          <t>長文</t>
        </is>
      </c>
      <c r="C4" t="inlineStr">
        <is>
          <t>ニュース</t>
        </is>
      </c>
      <c r="E4" t="inlineStr">
        <is>
          <t>海外のニュース（国際）</t>
        </is>
      </c>
      <c r="F4" t="inlineStr">
        <is>
          <t>ニュース</t>
        </is>
      </c>
      <c r="G4" t="inlineStr">
        <is>
          <t>N3</t>
        </is>
      </c>
      <c r="H4" t="inlineStr">
        <is>
          <t>こんにちは、国際（こくさい）ニュースです。アメリカで、新（あたら）しい 技術（ぎじゅつ）の 会議（かいぎ）が 開（ひら）かれました。世界中（せかいじゅう）から たくさんの 研究者（けんきゅうしゃ）が 集（あつ）まりました。日本（にほん）からも 多（おお）くの 企業（きぎょう）が 参加（さんか）し、注目（ちゅうもく）を 集（あつ）めています。来年（らいねん）は アジアでも 同（おな）じ 会議が 開かれる 予定（よてい）です。</t>
        </is>
      </c>
      <c r="I4" t="n">
        <v>105</v>
      </c>
      <c r="J4" t="inlineStr">
        <is>
          <t>Hello, international news. In the U.S., a conference on new technology was held. Many researchers gathered from around the world. Many companies from Japan also took part and are drawing attention. Next year, the same conference is scheduled to be held in Asia too.</t>
        </is>
      </c>
      <c r="K4" t="inlineStr">
        <is>
          <t>国際ニュース／〜が 開かれました／注目を 集めています</t>
        </is>
      </c>
      <c r="L4" t="inlineStr">
        <is>
          <t>国際ニュースの定型表現。</t>
        </is>
      </c>
      <c r="M4" t="inlineStr">
        <is>
          <t>世界とつながる話題。</t>
        </is>
      </c>
      <c r="N4" t="inlineStr">
        <is>
          <t>1話者・アナウンサー調</t>
        </is>
      </c>
    </row>
    <row r="5">
      <c r="A5" t="inlineStr">
        <is>
          <t>L-R-004</t>
        </is>
      </c>
      <c r="B5" t="inlineStr">
        <is>
          <t>長文</t>
        </is>
      </c>
      <c r="C5" t="inlineStr">
        <is>
          <t>ニュース</t>
        </is>
      </c>
      <c r="E5" t="inlineStr">
        <is>
          <t>サッカーの試合（スポーツ）</t>
        </is>
      </c>
      <c r="F5" t="inlineStr">
        <is>
          <t>ニュース</t>
        </is>
      </c>
      <c r="G5" t="inlineStr">
        <is>
          <t>N4</t>
        </is>
      </c>
      <c r="H5" t="inlineStr">
        <is>
          <t>スポーツの ニュースです。昨日（きのう）、サッカーの 試合（しあい）が ありました。日本（にほん）チームは 2対（たい）1で 勝（か）ちました。最後（さいご）の ゴールは、とても すばらしかったです。スタジアムの ファンは 大（おお）きな 声（こえ）で 応援（おうえん）しました。次（つぎ）の 試合は 来週（らいしゅう）の 土曜日（どようび）です。楽（たの）しみですね。</t>
        </is>
      </c>
      <c r="I5" t="n">
        <v>109</v>
      </c>
      <c r="J5" t="inlineStr">
        <is>
          <t>Sports news. Yesterday there was a soccer match. The Japan team won 2 to 1. The final goal was wonderful. Fans in the stadium cheered loudly. The next match is next Saturday. Something to look forward to.</t>
        </is>
      </c>
      <c r="K5" t="inlineStr">
        <is>
          <t>2対1で 勝ちました／応援しました／楽しみですね</t>
        </is>
      </c>
      <c r="L5" t="inlineStr">
        <is>
          <t>スポーツ結果(点数/勝敗)の聞き取り。</t>
        </is>
      </c>
      <c r="M5" t="inlineStr">
        <is>
          <t>勝利の興奮。</t>
        </is>
      </c>
      <c r="N5" t="inlineStr">
        <is>
          <t>1話者・アナウンサー調</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RowHeight="15"/>
  <sheetData>
    <row r="1">
      <c r="A1" t="inlineStr">
        <is>
          <t>ID</t>
        </is>
      </c>
      <c r="B1" t="inlineStr">
        <is>
          <t>タブ</t>
        </is>
      </c>
      <c r="C1" t="inlineStr">
        <is>
          <t>カテゴリー</t>
        </is>
      </c>
      <c r="D1" t="inlineStr">
        <is>
          <t>サブテーマ</t>
        </is>
      </c>
      <c r="E1" t="inlineStr">
        <is>
          <t>タイトル</t>
        </is>
      </c>
      <c r="F1" t="inlineStr">
        <is>
          <t>形式</t>
        </is>
      </c>
      <c r="G1" t="inlineStr">
        <is>
          <t>対象レベル(非表示)</t>
        </is>
      </c>
      <c r="H1" t="inlineStr">
        <is>
          <t>本文</t>
        </is>
      </c>
      <c r="I1" t="inlineStr">
        <is>
          <t>字数</t>
        </is>
      </c>
      <c r="J1" t="inlineStr">
        <is>
          <t>英訳</t>
        </is>
      </c>
      <c r="K1" t="inlineStr">
        <is>
          <t>キー表現</t>
        </is>
      </c>
      <c r="L1" t="inlineStr">
        <is>
          <t>ポイント</t>
        </is>
      </c>
      <c r="M1" t="inlineStr">
        <is>
          <t>楽しさ・継続フック</t>
        </is>
      </c>
      <c r="N1" t="inlineStr">
        <is>
          <t>備考(音声)</t>
        </is>
      </c>
    </row>
    <row r="2">
      <c r="A2" t="inlineStr">
        <is>
          <t>L-R-005</t>
        </is>
      </c>
      <c r="B2" t="inlineStr">
        <is>
          <t>長文</t>
        </is>
      </c>
      <c r="C2" t="inlineStr">
        <is>
          <t>お便り相談室</t>
        </is>
      </c>
      <c r="E2" t="inlineStr">
        <is>
          <t>勉強が続かない</t>
        </is>
      </c>
      <c r="F2" t="inlineStr">
        <is>
          <t>トーク</t>
        </is>
      </c>
      <c r="G2" t="inlineStr">
        <is>
          <t>N3</t>
        </is>
      </c>
      <c r="H2" t="inlineStr">
        <is>
          <t>こんばんは、パーソナリティの ユウキです。今日（きょう）も 一日（いちにち）お疲（つか）れさまでした。さて、リスナーの みなさんから お便（たよ）りを いただきました。「最近（さいきん）、日本語（にほんご）の 勉強（べんきょう）が 続（つづ）かなくて 困（こま）っています」。わかります〜。でも、大丈夫（だいじょうぶ）。毎日（まいにち）5分（ふん）でも いいんです。好（す）きな ドラマや 歌（うた）で 楽（たの）しく 続（つづ）けましょう。それでは、今夜（こんや）の 一曲（いっきょく）です。</t>
        </is>
      </c>
      <c r="I2" t="n">
        <v>142</v>
      </c>
      <c r="J2" t="inlineStr">
        <is>
          <t>Good evening, this is your host, Yuki. Thanks for your hard work today. Now, a message from a listener: 'Lately I can't keep up my Japanese study and I'm troubled.' I understand! But it's okay. Even 5 minutes a day is fine. Keep it up enjoyably with dramas or songs you like. Now, tonight's song.</t>
        </is>
      </c>
      <c r="K2" t="inlineStr">
        <is>
          <t>お疲れさまでした／お便り／〜ましょう</t>
        </is>
      </c>
      <c r="L2" t="inlineStr">
        <is>
          <t>相談＋励ましの語り口。</t>
        </is>
      </c>
      <c r="M2" t="inlineStr">
        <is>
          <t>共感＝続けたくなる。</t>
        </is>
      </c>
      <c r="N2" t="inlineStr">
        <is>
          <t>1話者・パーソナリティ調</t>
        </is>
      </c>
    </row>
    <row r="3">
      <c r="A3" t="inlineStr">
        <is>
          <t>L-R-006</t>
        </is>
      </c>
      <c r="B3" t="inlineStr">
        <is>
          <t>長文</t>
        </is>
      </c>
      <c r="C3" t="inlineStr">
        <is>
          <t>お便り相談室</t>
        </is>
      </c>
      <c r="E3" t="inlineStr">
        <is>
          <t>漢字が覚えられない</t>
        </is>
      </c>
      <c r="F3" t="inlineStr">
        <is>
          <t>トーク</t>
        </is>
      </c>
      <c r="G3" t="inlineStr">
        <is>
          <t>N3</t>
        </is>
      </c>
      <c r="H3" t="inlineStr">
        <is>
          <t>今日（きょう）の お便（たよ）りです。「漢字（かんじ）が なかなか 覚（おぼ）えられません」。わかります。漢字は 数（かず）が 多（おお）いですからね。おすすめは、毎日（まいにち）少（すこ）しずつ、生活（せいかつ）の 中（なか）で 見（み）た 漢字を 覚（おぼ）えることです。看板（かんばん）や メニューも いい 教材（きょうざい）ですよ。あせらず 続（つづ）けましょう。</t>
        </is>
      </c>
      <c r="I3" t="n">
        <v>103</v>
      </c>
      <c r="J3" t="inlineStr">
        <is>
          <t>Today's listener message: 'I just can't memorize kanji.' I understand—there are so many. My tip: learn a little every day, from kanji you see in daily life. Signs and menus make good study material too. Don't rush—keep at it.</t>
        </is>
      </c>
      <c r="K3" t="inlineStr">
        <is>
          <t>なかなか 〜られません／少しずつ／あせらず 続けましょう</t>
        </is>
      </c>
      <c r="L3" t="inlineStr">
        <is>
          <t>相談＋アドバイスの語り。</t>
        </is>
      </c>
      <c r="M3" t="inlineStr">
        <is>
          <t>共感＆励ましで続く。</t>
        </is>
      </c>
      <c r="N3" t="inlineStr">
        <is>
          <t>1話者・パーソナリティ調</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t="inlineStr">
        <is>
          <t>ID</t>
        </is>
      </c>
      <c r="B1" t="inlineStr">
        <is>
          <t>タブ</t>
        </is>
      </c>
      <c r="C1" t="inlineStr">
        <is>
          <t>カテゴリー</t>
        </is>
      </c>
      <c r="D1" t="inlineStr">
        <is>
          <t>サブテーマ</t>
        </is>
      </c>
      <c r="E1" t="inlineStr">
        <is>
          <t>タイトル</t>
        </is>
      </c>
      <c r="F1" t="inlineStr">
        <is>
          <t>形式</t>
        </is>
      </c>
      <c r="G1" t="inlineStr">
        <is>
          <t>対象レベル(非表示)</t>
        </is>
      </c>
      <c r="H1" t="inlineStr">
        <is>
          <t>本文</t>
        </is>
      </c>
      <c r="I1" t="inlineStr">
        <is>
          <t>字数</t>
        </is>
      </c>
      <c r="J1" t="inlineStr">
        <is>
          <t>英訳</t>
        </is>
      </c>
      <c r="K1" t="inlineStr">
        <is>
          <t>キー表現</t>
        </is>
      </c>
      <c r="L1" t="inlineStr">
        <is>
          <t>ポイント</t>
        </is>
      </c>
      <c r="M1" t="inlineStr">
        <is>
          <t>楽しさ・継続フック</t>
        </is>
      </c>
      <c r="N1" t="inlineStr">
        <is>
          <t>備考(音声)</t>
        </is>
      </c>
    </row>
    <row r="2">
      <c r="A2" t="inlineStr">
        <is>
          <t>L-R-007</t>
        </is>
      </c>
      <c r="B2" t="inlineStr">
        <is>
          <t>長文</t>
        </is>
      </c>
      <c r="C2" t="inlineStr">
        <is>
          <t>ゲストインタビュー</t>
        </is>
      </c>
      <c r="E2" t="inlineStr">
        <is>
          <t>ゲストのカイさん</t>
        </is>
      </c>
      <c r="F2" t="inlineStr">
        <is>
          <t>対話</t>
        </is>
      </c>
      <c r="G2" t="inlineStr">
        <is>
          <t>N4</t>
        </is>
      </c>
      <c r="H2" t="inlineStr">
        <is>
          <t>司会（しかい）：今日（きょう）の ゲストは、日本（にほん）で 勉強（べんきょう）している カイさんです。日本に 来て どのくらいですか。
カイ：半年（はんとし）くらいです。
司会：日本で 一番（いちばん）好（す）きな ものは？
カイ：温泉（おんせん）です。とても 気持（きも）ちが いいです。
司会：これから 何（なに）を したいですか。
カイ：日本語（にほんご）を もっと 上手（じょうず）に なりたいです。
司会：いいですね！ がんばってください。</t>
        </is>
      </c>
      <c r="I2" t="n">
        <v>142</v>
      </c>
      <c r="J2" t="inlineStr">
        <is>
          <t>Host: Today's guest is Kai, who is studying in Japan. How long have you been in Japan? / Kai: About half a year. / Host: What's your favorite thing in Japan? / Kai: Hot springs. They feel so good. / Host: What do you want to do from now on? / Kai: I want to get better at Japanese. / Host: Nice! Keep it up.</t>
        </is>
      </c>
      <c r="K2" t="inlineStr">
        <is>
          <t>どのくらいですか／一番 好きな ものは？／がんばってください</t>
        </is>
      </c>
      <c r="L2" t="inlineStr">
        <is>
          <t>インタビューの定番質問。</t>
        </is>
      </c>
      <c r="M2" t="inlineStr">
        <is>
          <t>多様な人の声・人間味。</t>
        </is>
      </c>
      <c r="N2" t="inlineStr">
        <is>
          <t>多声TTS:司会/ゲスト</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t="inlineStr">
        <is>
          <t>ID</t>
        </is>
      </c>
      <c r="B1" t="inlineStr">
        <is>
          <t>タブ</t>
        </is>
      </c>
      <c r="C1" t="inlineStr">
        <is>
          <t>カテゴリー</t>
        </is>
      </c>
      <c r="D1" t="inlineStr">
        <is>
          <t>サブテーマ</t>
        </is>
      </c>
      <c r="E1" t="inlineStr">
        <is>
          <t>タイトル</t>
        </is>
      </c>
      <c r="F1" t="inlineStr">
        <is>
          <t>形式</t>
        </is>
      </c>
      <c r="G1" t="inlineStr">
        <is>
          <t>対象レベル(非表示)</t>
        </is>
      </c>
      <c r="H1" t="inlineStr">
        <is>
          <t>本文</t>
        </is>
      </c>
      <c r="I1" t="inlineStr">
        <is>
          <t>字数</t>
        </is>
      </c>
      <c r="J1" t="inlineStr">
        <is>
          <t>英訳</t>
        </is>
      </c>
      <c r="K1" t="inlineStr">
        <is>
          <t>キー表現</t>
        </is>
      </c>
      <c r="L1" t="inlineStr">
        <is>
          <t>ポイント</t>
        </is>
      </c>
      <c r="M1" t="inlineStr">
        <is>
          <t>楽しさ・継続フック</t>
        </is>
      </c>
      <c r="N1" t="inlineStr">
        <is>
          <t>備考(音声)</t>
        </is>
      </c>
    </row>
    <row r="2">
      <c r="A2" t="inlineStr">
        <is>
          <t>L-R-008</t>
        </is>
      </c>
      <c r="B2" t="inlineStr">
        <is>
          <t>長文</t>
        </is>
      </c>
      <c r="C2" t="inlineStr">
        <is>
          <t>2人のフリートーク</t>
        </is>
      </c>
      <c r="E2" t="inlineStr">
        <is>
          <t>週末どうだった？</t>
        </is>
      </c>
      <c r="F2" t="inlineStr">
        <is>
          <t>対話</t>
        </is>
      </c>
      <c r="G2" t="inlineStr">
        <is>
          <t>N4</t>
        </is>
      </c>
      <c r="H2" t="inlineStr">
        <is>
          <t>ケンタ：週末（しゅうまつ）、どうだった？
カイ：友（とも）だちの ミナと 海（うみ）に 行（い）ったよ。すごく きれいだった！
ケンタ：いいなあ。おれは 一日中（いちにちじゅう）、家（いえ）で ドラマを 見（み）てた。
カイ：それも いいね。何（なに）の ドラマ？
ケンタ：日本（にほん）の 恋愛（れんあい）ドラマ。じつは 日本語の 勉強（べんきょう）にも なるんだぜ。
カイ：へえ、いいね！</t>
        </is>
      </c>
      <c r="I2" t="n">
        <v>122</v>
      </c>
      <c r="J2" t="inlineStr">
        <is>
          <t>Kenta: How was your weekend? / Kai: I went to the beach with my friend Mina. It was so beautiful! / Kenta: Nice. I watched dramas at home all day. / Kai: That's good too. What drama? / Kenta: A Japanese romance drama. Actually it's good Japanese study too. / Kai: Oh, nice!</t>
        </is>
      </c>
      <c r="K2" t="inlineStr">
        <is>
          <t>どうだった?／〜に 行ったよ／勉強にも なる</t>
        </is>
      </c>
      <c r="L2" t="inlineStr">
        <is>
          <t>相棒ケンタとカイのゆるい雑談(再登場)。</t>
        </is>
      </c>
      <c r="M2" t="inlineStr">
        <is>
          <t>くだけた会話＝多聴に最適。</t>
        </is>
      </c>
      <c r="N2" t="inlineStr">
        <is>
          <t>多声TTS:ケンタ/カイ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2026-06-30T12:45:01Z</dcterms:created>
  <dcterms:modified xmlns:dcterms="http://purl.org/dc/terms/" xmlns:xsi="http://www.w3.org/2001/XMLSchema-instance" xsi:type="dcterms:W3CDTF">2026-07-01T15:57:40Z</dcterms:modified>
  <cp:lastModifiedBy>仁 加藤</cp:lastModifiedBy>
</cp:coreProperties>
</file>